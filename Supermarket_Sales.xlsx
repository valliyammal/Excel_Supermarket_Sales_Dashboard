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hidePivotFieldList="1" defaultThemeVersion="124226"/>
  <mc:AlternateContent xmlns:mc="http://schemas.openxmlformats.org/markup-compatibility/2006">
    <mc:Choice Requires="x15">
      <x15ac:absPath xmlns:x15ac="http://schemas.microsoft.com/office/spreadsheetml/2010/11/ac" url="F:\Excel Projects\07_Supermarket Sales Dashboard\"/>
    </mc:Choice>
  </mc:AlternateContent>
  <xr:revisionPtr revIDLastSave="0" documentId="13_ncr:1_{E560C518-6472-44A4-AE83-664422749344}" xr6:coauthVersionLast="47" xr6:coauthVersionMax="47" xr10:uidLastSave="{00000000-0000-0000-0000-000000000000}"/>
  <bookViews>
    <workbookView xWindow="-108" yWindow="-108" windowWidth="23256" windowHeight="12456" firstSheet="1" activeTab="1" xr2:uid="{00000000-000D-0000-FFFF-FFFF00000000}"/>
  </bookViews>
  <sheets>
    <sheet name=" Pivot Table 1" sheetId="2" r:id="rId1"/>
    <sheet name="Supermarket Dashboard" sheetId="3" r:id="rId2"/>
    <sheet name="Pivot Table 2" sheetId="4" r:id="rId3"/>
    <sheet name="Pivot Table 3" sheetId="5" r:id="rId4"/>
    <sheet name="Pivot Table 4" sheetId="6" r:id="rId5"/>
    <sheet name="Pivot Table 5" sheetId="7" r:id="rId6"/>
    <sheet name="Pivot Table 7" sheetId="8" r:id="rId7"/>
    <sheet name="Data" sheetId="1" r:id="rId8"/>
  </sheets>
  <definedNames>
    <definedName name="Product">'Pivot Table 7'!$A$3:$A$16</definedName>
    <definedName name="Slicer_Category">#N/A</definedName>
    <definedName name="Slicer_City">#N/A</definedName>
    <definedName name="Slicer_Product">#N/A</definedName>
  </definedNames>
  <calcPr calcId="191029"/>
  <pivotCaches>
    <pivotCache cacheId="23" r:id="rId9"/>
    <pivotCache cacheId="2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E5" i="3"/>
  <c r="C5"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<sst xmlns="http://schemas.openxmlformats.org/spreadsheetml/2006/main" count="728" uniqueCount="221">
  <si>
    <t>Date</t>
  </si>
  <si>
    <t>Invoice_ID</t>
  </si>
  <si>
    <t>Customer</t>
  </si>
  <si>
    <t>City</t>
  </si>
  <si>
    <t>Category</t>
  </si>
  <si>
    <t>Product</t>
  </si>
  <si>
    <t>Quantity</t>
  </si>
  <si>
    <t>Unit_Price</t>
  </si>
  <si>
    <t>Payment_Mode</t>
  </si>
  <si>
    <t>Total_Sales</t>
  </si>
  <si>
    <t>05-02-2026</t>
  </si>
  <si>
    <t>24-02-2026</t>
  </si>
  <si>
    <t>19-03-2026</t>
  </si>
  <si>
    <t>17-03-2026</t>
  </si>
  <si>
    <t>20-01-2026</t>
  </si>
  <si>
    <t>15-02-2026</t>
  </si>
  <si>
    <t>16-01-2026</t>
  </si>
  <si>
    <t>25-01-2026</t>
  </si>
  <si>
    <t>13-01-2026</t>
  </si>
  <si>
    <t>01-03-2026</t>
  </si>
  <si>
    <t>30-01-2026</t>
  </si>
  <si>
    <t>14-03-2026</t>
  </si>
  <si>
    <t>03-02-2026</t>
  </si>
  <si>
    <t>21-02-2026</t>
  </si>
  <si>
    <t>15-01-2026</t>
  </si>
  <si>
    <t>18-03-2026</t>
  </si>
  <si>
    <t>10-03-2026</t>
  </si>
  <si>
    <t>28-02-2026</t>
  </si>
  <si>
    <t>08-02-2026</t>
  </si>
  <si>
    <t>11-03-2026</t>
  </si>
  <si>
    <t>11-01-2026</t>
  </si>
  <si>
    <t>02-03-2026</t>
  </si>
  <si>
    <t>30-03-2026</t>
  </si>
  <si>
    <t>27-02-2026</t>
  </si>
  <si>
    <t>22-03-2026</t>
  </si>
  <si>
    <t>07-03-2026</t>
  </si>
  <si>
    <t>15-03-2026</t>
  </si>
  <si>
    <t>07-01-2026</t>
  </si>
  <si>
    <t>25-03-2026</t>
  </si>
  <si>
    <t>04-03-2026</t>
  </si>
  <si>
    <t>01-01-2026</t>
  </si>
  <si>
    <t>13-03-2026</t>
  </si>
  <si>
    <t>16-03-2026</t>
  </si>
  <si>
    <t>03-03-2026</t>
  </si>
  <si>
    <t>09-01-2026</t>
  </si>
  <si>
    <t>01-02-2026</t>
  </si>
  <si>
    <t>10-02-2026</t>
  </si>
  <si>
    <t>28-01-2026</t>
  </si>
  <si>
    <t>17-02-2026</t>
  </si>
  <si>
    <t>12-03-2026</t>
  </si>
  <si>
    <t>29-03-2026</t>
  </si>
  <si>
    <t>23-03-2026</t>
  </si>
  <si>
    <t>10-01-2026</t>
  </si>
  <si>
    <t>17-01-2026</t>
  </si>
  <si>
    <t>21-01-2026</t>
  </si>
  <si>
    <t>27-03-2026</t>
  </si>
  <si>
    <t>29-01-2026</t>
  </si>
  <si>
    <t>25-02-2026</t>
  </si>
  <si>
    <t>07-02-2026</t>
  </si>
  <si>
    <t>23-01-2026</t>
  </si>
  <si>
    <t>06-02-2026</t>
  </si>
  <si>
    <t>26-02-2026</t>
  </si>
  <si>
    <t>26-01-2026</t>
  </si>
  <si>
    <t>18-01-2026</t>
  </si>
  <si>
    <t>06-03-2026</t>
  </si>
  <si>
    <t>31-03-2026</t>
  </si>
  <si>
    <t>04-02-2026</t>
  </si>
  <si>
    <t>28-03-2026</t>
  </si>
  <si>
    <t>24-01-2026</t>
  </si>
  <si>
    <t>11-02-2026</t>
  </si>
  <si>
    <t>14-01-2026</t>
  </si>
  <si>
    <t>08-03-2026</t>
  </si>
  <si>
    <t>INV001</t>
  </si>
  <si>
    <t>INV002</t>
  </si>
  <si>
    <t>INV003</t>
  </si>
  <si>
    <t>INV004</t>
  </si>
  <si>
    <t>INV005</t>
  </si>
  <si>
    <t>INV006</t>
  </si>
  <si>
    <t>INV007</t>
  </si>
  <si>
    <t>INV008</t>
  </si>
  <si>
    <t>INV009</t>
  </si>
  <si>
    <t>INV010</t>
  </si>
  <si>
    <t>INV011</t>
  </si>
  <si>
    <t>INV012</t>
  </si>
  <si>
    <t>INV013</t>
  </si>
  <si>
    <t>INV014</t>
  </si>
  <si>
    <t>INV015</t>
  </si>
  <si>
    <t>INV016</t>
  </si>
  <si>
    <t>INV017</t>
  </si>
  <si>
    <t>INV018</t>
  </si>
  <si>
    <t>INV019</t>
  </si>
  <si>
    <t>INV020</t>
  </si>
  <si>
    <t>INV021</t>
  </si>
  <si>
    <t>INV022</t>
  </si>
  <si>
    <t>INV023</t>
  </si>
  <si>
    <t>INV024</t>
  </si>
  <si>
    <t>INV025</t>
  </si>
  <si>
    <t>INV026</t>
  </si>
  <si>
    <t>INV027</t>
  </si>
  <si>
    <t>INV028</t>
  </si>
  <si>
    <t>INV029</t>
  </si>
  <si>
    <t>INV030</t>
  </si>
  <si>
    <t>INV031</t>
  </si>
  <si>
    <t>INV032</t>
  </si>
  <si>
    <t>INV033</t>
  </si>
  <si>
    <t>INV034</t>
  </si>
  <si>
    <t>INV035</t>
  </si>
  <si>
    <t>INV036</t>
  </si>
  <si>
    <t>INV037</t>
  </si>
  <si>
    <t>INV038</t>
  </si>
  <si>
    <t>INV039</t>
  </si>
  <si>
    <t>INV040</t>
  </si>
  <si>
    <t>INV041</t>
  </si>
  <si>
    <t>INV042</t>
  </si>
  <si>
    <t>INV043</t>
  </si>
  <si>
    <t>INV044</t>
  </si>
  <si>
    <t>INV045</t>
  </si>
  <si>
    <t>INV046</t>
  </si>
  <si>
    <t>INV047</t>
  </si>
  <si>
    <t>INV048</t>
  </si>
  <si>
    <t>INV049</t>
  </si>
  <si>
    <t>INV050</t>
  </si>
  <si>
    <t>INV051</t>
  </si>
  <si>
    <t>INV052</t>
  </si>
  <si>
    <t>INV053</t>
  </si>
  <si>
    <t>INV054</t>
  </si>
  <si>
    <t>INV055</t>
  </si>
  <si>
    <t>INV056</t>
  </si>
  <si>
    <t>INV057</t>
  </si>
  <si>
    <t>INV058</t>
  </si>
  <si>
    <t>INV059</t>
  </si>
  <si>
    <t>INV060</t>
  </si>
  <si>
    <t>INV061</t>
  </si>
  <si>
    <t>INV062</t>
  </si>
  <si>
    <t>INV063</t>
  </si>
  <si>
    <t>INV064</t>
  </si>
  <si>
    <t>INV065</t>
  </si>
  <si>
    <t>INV066</t>
  </si>
  <si>
    <t>INV067</t>
  </si>
  <si>
    <t>INV068</t>
  </si>
  <si>
    <t>INV069</t>
  </si>
  <si>
    <t>INV070</t>
  </si>
  <si>
    <t>INV071</t>
  </si>
  <si>
    <t>INV072</t>
  </si>
  <si>
    <t>INV073</t>
  </si>
  <si>
    <t>INV074</t>
  </si>
  <si>
    <t>INV075</t>
  </si>
  <si>
    <t>INV076</t>
  </si>
  <si>
    <t>INV077</t>
  </si>
  <si>
    <t>INV078</t>
  </si>
  <si>
    <t>INV079</t>
  </si>
  <si>
    <t>INV080</t>
  </si>
  <si>
    <t>INV081</t>
  </si>
  <si>
    <t>INV082</t>
  </si>
  <si>
    <t>INV083</t>
  </si>
  <si>
    <t>INV084</t>
  </si>
  <si>
    <t>INV085</t>
  </si>
  <si>
    <t>INV086</t>
  </si>
  <si>
    <t>INV087</t>
  </si>
  <si>
    <t>INV088</t>
  </si>
  <si>
    <t>INV089</t>
  </si>
  <si>
    <t>INV090</t>
  </si>
  <si>
    <t>INV091</t>
  </si>
  <si>
    <t>INV092</t>
  </si>
  <si>
    <t>INV093</t>
  </si>
  <si>
    <t>INV094</t>
  </si>
  <si>
    <t>INV095</t>
  </si>
  <si>
    <t>INV096</t>
  </si>
  <si>
    <t>INV097</t>
  </si>
  <si>
    <t>INV098</t>
  </si>
  <si>
    <t>INV099</t>
  </si>
  <si>
    <t>INV100</t>
  </si>
  <si>
    <t>Meena</t>
  </si>
  <si>
    <t>Arun</t>
  </si>
  <si>
    <t>Vijay</t>
  </si>
  <si>
    <t>Divya</t>
  </si>
  <si>
    <t>Lakshmi</t>
  </si>
  <si>
    <t>Priya</t>
  </si>
  <si>
    <t>Ravi</t>
  </si>
  <si>
    <t>Kumar</t>
  </si>
  <si>
    <t>Anitha</t>
  </si>
  <si>
    <t>Suresh</t>
  </si>
  <si>
    <t>Mumbai</t>
  </si>
  <si>
    <t>Chennai</t>
  </si>
  <si>
    <t>Delhi</t>
  </si>
  <si>
    <t>Hyderabad</t>
  </si>
  <si>
    <t>Bangalore</t>
  </si>
  <si>
    <t>Grocery</t>
  </si>
  <si>
    <t>Beverages</t>
  </si>
  <si>
    <t>Snacks</t>
  </si>
  <si>
    <t>Personal Care</t>
  </si>
  <si>
    <t>Rice</t>
  </si>
  <si>
    <t>Cooking Oil</t>
  </si>
  <si>
    <t>Soft Drink</t>
  </si>
  <si>
    <t>Coffee</t>
  </si>
  <si>
    <t>Chips</t>
  </si>
  <si>
    <t>Shampoo</t>
  </si>
  <si>
    <t>Toothpaste</t>
  </si>
  <si>
    <t>Namkeen</t>
  </si>
  <si>
    <t>Juice</t>
  </si>
  <si>
    <t>Biscuits</t>
  </si>
  <si>
    <t>Soap</t>
  </si>
  <si>
    <t>Wheat</t>
  </si>
  <si>
    <t>UPI</t>
  </si>
  <si>
    <t>Card</t>
  </si>
  <si>
    <t>Net Banking</t>
  </si>
  <si>
    <t>Cash</t>
  </si>
  <si>
    <t>Row Labels</t>
  </si>
  <si>
    <t>Grand Total</t>
  </si>
  <si>
    <t>Sum of Total_Sales</t>
  </si>
  <si>
    <t>Month</t>
  </si>
  <si>
    <t>`</t>
  </si>
  <si>
    <t>January</t>
  </si>
  <si>
    <t>February</t>
  </si>
  <si>
    <t>March</t>
  </si>
  <si>
    <t>TOTAL SALES</t>
  </si>
  <si>
    <t>TOTAL QUANTITY</t>
  </si>
  <si>
    <t>TOP PRODUCT</t>
  </si>
  <si>
    <t>SUPERMARKET SALES DASHBOARD</t>
  </si>
  <si>
    <t>TOTAL TRANSACTIONS</t>
  </si>
  <si>
    <r>
      <t xml:space="preserve"> </t>
    </r>
    <r>
      <rPr>
        <b/>
        <sz val="18"/>
        <color theme="9" tint="-0.499984740745262"/>
        <rFont val="Arial Unicode MS"/>
        <family val="2"/>
      </rPr>
      <t>TOP CITY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</si>
</sst>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
  </numFmts>
  <fonts count="9" x14ac:knownFonts="1">
    <font>
      <sz val="11"/>
      <color theme="1"/>
      <name val="Calibri"/>
      <family val="2"/>
      <scheme val="minor"/>
    </font>
    <font>
      <b/>
      <sz val="11"/>
      <color rgb="FFFF0000"/>
      <name val="Calibri"/>
      <family val="2"/>
      <scheme val="minor"/>
    </font>
    <font>
      <b/>
      <sz val="11"/>
      <color theme="1"/>
      <name val="Calibri"/>
      <family val="2"/>
      <scheme val="minor"/>
    </font>
    <font>
      <b/>
      <sz val="20"/>
      <color theme="1"/>
      <name val="Calibri"/>
      <family val="2"/>
      <scheme val="minor"/>
    </font>
    <font>
      <b/>
      <sz val="26"/>
      <color theme="9" tint="-0.499984740745262"/>
      <name val="Calibri"/>
      <family val="2"/>
      <scheme val="minor"/>
    </font>
    <font>
      <b/>
      <sz val="18"/>
      <color theme="9" tint="-0.499984740745262"/>
      <name val="Calibri"/>
      <family val="2"/>
      <scheme val="minor"/>
    </font>
    <font>
      <sz val="11"/>
      <color theme="9" tint="-0.499984740745262"/>
      <name val="Calibri"/>
      <family val="2"/>
      <scheme val="minor"/>
    </font>
    <font>
      <b/>
      <sz val="11"/>
      <color theme="9" tint="-0.499984740745262"/>
      <name val="Calibri"/>
      <family val="2"/>
      <scheme val="minor"/>
    </font>
    <font>
      <b/>
      <sz val="18"/>
      <color theme="9" tint="-0.499984740745262"/>
      <name val="Arial Unicode MS"/>
      <family val="2"/>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auto="1"/>
      </bottom>
      <diagonal/>
    </border>
    <border>
      <left style="thin">
        <color auto="1"/>
      </left>
      <right/>
      <top/>
      <bottom style="thin">
        <color auto="1"/>
      </bottom>
      <diagonal/>
    </border>
    <border>
      <left style="thin">
        <color auto="1"/>
      </left>
      <right/>
      <top/>
      <bottom/>
      <diagonal/>
    </border>
    <border>
      <left/>
      <right style="thin">
        <color indexed="64"/>
      </right>
      <top/>
      <bottom/>
      <diagonal/>
    </border>
  </borders>
  <cellStyleXfs count="1">
    <xf numFmtId="0" fontId="0" fillId="0" borderId="0"/>
  </cellStyleXfs>
  <cellXfs count="36">
    <xf numFmtId="0" fontId="0" fillId="0" borderId="0" xfId="0"/>
    <xf numFmtId="0" fontId="0" fillId="0" borderId="1" xfId="0" applyBorder="1" applyAlignment="1">
      <alignment horizontal="center"/>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0" fillId="0" borderId="1" xfId="0" applyNumberFormat="1" applyBorder="1" applyAlignment="1">
      <alignment horizontal="center"/>
    </xf>
    <xf numFmtId="0" fontId="1" fillId="2" borderId="2" xfId="0" applyFont="1" applyFill="1" applyBorder="1" applyAlignment="1">
      <alignment horizontal="center" vertical="top"/>
    </xf>
    <xf numFmtId="0" fontId="0" fillId="0" borderId="0" xfId="0" applyBorder="1"/>
    <xf numFmtId="0" fontId="0" fillId="0" borderId="0" xfId="0" applyAlignment="1">
      <alignment horizontal="center"/>
    </xf>
    <xf numFmtId="0" fontId="2" fillId="0" borderId="0" xfId="0" applyFont="1" applyBorder="1"/>
    <xf numFmtId="0" fontId="3" fillId="0" borderId="0" xfId="0" applyFont="1" applyAlignment="1">
      <alignment horizontal="center"/>
    </xf>
    <xf numFmtId="0" fontId="4" fillId="3" borderId="9"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7" xfId="0" applyFont="1" applyFill="1" applyBorder="1" applyAlignment="1">
      <alignment horizontal="center" vertical="center"/>
    </xf>
    <xf numFmtId="0" fontId="5" fillId="3" borderId="1" xfId="0" applyFont="1" applyFill="1" applyBorder="1" applyAlignment="1">
      <alignment horizontal="center"/>
    </xf>
    <xf numFmtId="171" fontId="5" fillId="3" borderId="1" xfId="0" applyNumberFormat="1" applyFont="1" applyFill="1" applyBorder="1" applyAlignment="1">
      <alignment horizontal="center"/>
    </xf>
    <xf numFmtId="0" fontId="5" fillId="3" borderId="3" xfId="0" applyFont="1" applyFill="1" applyBorder="1" applyAlignment="1"/>
    <xf numFmtId="0" fontId="5" fillId="3" borderId="4" xfId="0" applyFont="1" applyFill="1" applyBorder="1" applyAlignment="1"/>
    <xf numFmtId="0" fontId="6" fillId="3" borderId="4" xfId="0" applyFont="1" applyFill="1" applyBorder="1"/>
    <xf numFmtId="0" fontId="5" fillId="3" borderId="6" xfId="0" applyFont="1" applyFill="1" applyBorder="1" applyAlignment="1"/>
    <xf numFmtId="0" fontId="5" fillId="3" borderId="3" xfId="0" applyFont="1" applyFill="1" applyBorder="1"/>
    <xf numFmtId="0" fontId="6" fillId="3" borderId="6" xfId="0" applyFont="1" applyFill="1" applyBorder="1"/>
    <xf numFmtId="0" fontId="5" fillId="3" borderId="8" xfId="0" applyFont="1" applyFill="1" applyBorder="1" applyAlignment="1"/>
    <xf numFmtId="0" fontId="5" fillId="3" borderId="5" xfId="0" applyFont="1" applyFill="1" applyBorder="1" applyAlignment="1"/>
    <xf numFmtId="0" fontId="6" fillId="3" borderId="5" xfId="0" applyFont="1" applyFill="1" applyBorder="1"/>
    <xf numFmtId="0" fontId="6" fillId="3" borderId="7" xfId="0" applyFont="1" applyFill="1" applyBorder="1" applyAlignment="1">
      <alignment horizontal="center"/>
    </xf>
    <xf numFmtId="0" fontId="7" fillId="3" borderId="4" xfId="0" applyFont="1" applyFill="1" applyBorder="1" applyAlignment="1"/>
    <xf numFmtId="0" fontId="5" fillId="3" borderId="4" xfId="0" applyFont="1" applyFill="1" applyBorder="1" applyAlignment="1">
      <alignment horizontal="center"/>
    </xf>
    <xf numFmtId="0" fontId="5" fillId="3" borderId="4" xfId="0" applyFont="1" applyFill="1" applyBorder="1"/>
    <xf numFmtId="0" fontId="5" fillId="3" borderId="8" xfId="0" applyFont="1" applyFill="1" applyBorder="1"/>
    <xf numFmtId="0" fontId="5" fillId="3" borderId="5" xfId="0" applyFont="1" applyFill="1" applyBorder="1" applyAlignment="1">
      <alignment horizontal="center"/>
    </xf>
    <xf numFmtId="0" fontId="5" fillId="3" borderId="7"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 Pivot Table 1!PivotTable1</c:name>
    <c:fmtId val="9"/>
  </c:pivotSource>
  <c:chart>
    <c:title>
      <c:tx>
        <c:rich>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Category-wise Sales</a:t>
            </a:r>
          </a:p>
          <a:p>
            <a:pPr algn="ctr">
              <a:defRPr sz="1400" b="1">
                <a:solidFill>
                  <a:srgbClr val="FF0000"/>
                </a:solidFill>
              </a:defRPr>
            </a:pPr>
            <a:endParaRPr lang="en-IN" sz="1400" b="1" i="0" u="none" strike="noStrike" baseline="0">
              <a:solidFill>
                <a:srgbClr val="FF0000"/>
              </a:solidFill>
            </a:endParaRPr>
          </a:p>
          <a:p>
            <a:pPr algn="ctr">
              <a:defRPr sz="1400" b="1">
                <a:solidFill>
                  <a:srgbClr val="FF0000"/>
                </a:solidFill>
              </a:defRPr>
            </a:pPr>
            <a:endParaRPr lang="en-IN" sz="1400" b="1">
              <a:solidFill>
                <a:srgbClr val="FF0000"/>
              </a:solidFill>
            </a:endParaRPr>
          </a:p>
        </c:rich>
      </c:tx>
      <c:layout>
        <c:manualLayout>
          <c:xMode val="edge"/>
          <c:yMode val="edge"/>
          <c:x val="0.35045148148148153"/>
          <c:y val="2.6458333333333334E-2"/>
        </c:manualLayout>
      </c:layout>
      <c:overlay val="0"/>
      <c:spPr>
        <a:solidFill>
          <a:srgbClr val="FFFF00"/>
        </a:solidFill>
        <a:ln>
          <a:noFill/>
        </a:ln>
        <a:effectLst/>
      </c:spPr>
      <c:txPr>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 1'!$B$3</c:f>
              <c:strCache>
                <c:ptCount val="1"/>
                <c:pt idx="0">
                  <c:v>Total</c:v>
                </c:pt>
              </c:strCache>
            </c:strRef>
          </c:tx>
          <c:spPr>
            <a:solidFill>
              <a:schemeClr val="accent1"/>
            </a:solidFill>
            <a:ln>
              <a:noFill/>
            </a:ln>
            <a:effectLst/>
          </c:spPr>
          <c:invertIfNegative val="0"/>
          <c:cat>
            <c:strRef>
              <c:f>' Pivot Table 1'!$A$4:$A$8</c:f>
              <c:strCache>
                <c:ptCount val="4"/>
                <c:pt idx="0">
                  <c:v>Beverages</c:v>
                </c:pt>
                <c:pt idx="1">
                  <c:v>Grocery</c:v>
                </c:pt>
                <c:pt idx="2">
                  <c:v>Personal Care</c:v>
                </c:pt>
                <c:pt idx="3">
                  <c:v>Snacks</c:v>
                </c:pt>
              </c:strCache>
            </c:strRef>
          </c:cat>
          <c:val>
            <c:numRef>
              <c:f>' Pivot Table 1'!$B$4:$B$8</c:f>
              <c:numCache>
                <c:formatCode>General</c:formatCode>
                <c:ptCount val="4"/>
                <c:pt idx="0">
                  <c:v>17510</c:v>
                </c:pt>
                <c:pt idx="1">
                  <c:v>86810</c:v>
                </c:pt>
                <c:pt idx="2">
                  <c:v>29610</c:v>
                </c:pt>
                <c:pt idx="3">
                  <c:v>4820</c:v>
                </c:pt>
              </c:numCache>
            </c:numRef>
          </c:val>
          <c:extLst>
            <c:ext xmlns:c16="http://schemas.microsoft.com/office/drawing/2014/chart" uri="{C3380CC4-5D6E-409C-BE32-E72D297353CC}">
              <c16:uniqueId val="{00000000-34D4-4611-9A73-3C2A0C18F0C4}"/>
            </c:ext>
          </c:extLst>
        </c:ser>
        <c:dLbls>
          <c:showLegendKey val="0"/>
          <c:showVal val="0"/>
          <c:showCatName val="0"/>
          <c:showSerName val="0"/>
          <c:showPercent val="0"/>
          <c:showBubbleSize val="0"/>
        </c:dLbls>
        <c:gapWidth val="219"/>
        <c:overlap val="-27"/>
        <c:axId val="376433919"/>
        <c:axId val="379226895"/>
      </c:barChart>
      <c:catAx>
        <c:axId val="3764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26895"/>
        <c:crosses val="autoZero"/>
        <c:auto val="1"/>
        <c:lblAlgn val="ctr"/>
        <c:lblOffset val="100"/>
        <c:noMultiLvlLbl val="0"/>
      </c:catAx>
      <c:valAx>
        <c:axId val="37922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3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 2!PivotTable2</c:name>
    <c:fmtId val="2"/>
  </c:pivotSource>
  <c:chart>
    <c:title>
      <c:tx>
        <c:rich>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r>
              <a:rPr lang="en-IN" sz="1600" b="1" i="0" u="none" strike="noStrike" baseline="0">
                <a:solidFill>
                  <a:srgbClr val="FF0000"/>
                </a:solidFill>
              </a:rPr>
              <a:t>City-wise Sales</a:t>
            </a:r>
            <a:endParaRPr lang="en-IN" sz="1600"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6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2'!$A$4:$A$9</c:f>
              <c:strCache>
                <c:ptCount val="5"/>
                <c:pt idx="0">
                  <c:v>Bangalore</c:v>
                </c:pt>
                <c:pt idx="1">
                  <c:v>Chennai</c:v>
                </c:pt>
                <c:pt idx="2">
                  <c:v>Delhi</c:v>
                </c:pt>
                <c:pt idx="3">
                  <c:v>Hyderabad</c:v>
                </c:pt>
                <c:pt idx="4">
                  <c:v>Mumbai</c:v>
                </c:pt>
              </c:strCache>
            </c:strRef>
          </c:cat>
          <c:val>
            <c:numRef>
              <c:f>'Pivot Table 2'!$B$4:$B$9</c:f>
              <c:numCache>
                <c:formatCode>General</c:formatCode>
                <c:ptCount val="5"/>
                <c:pt idx="0">
                  <c:v>35340</c:v>
                </c:pt>
                <c:pt idx="1">
                  <c:v>40580</c:v>
                </c:pt>
                <c:pt idx="2">
                  <c:v>17270</c:v>
                </c:pt>
                <c:pt idx="3">
                  <c:v>17250</c:v>
                </c:pt>
                <c:pt idx="4">
                  <c:v>28310</c:v>
                </c:pt>
              </c:numCache>
            </c:numRef>
          </c:val>
          <c:extLst>
            <c:ext xmlns:c16="http://schemas.microsoft.com/office/drawing/2014/chart" uri="{C3380CC4-5D6E-409C-BE32-E72D297353CC}">
              <c16:uniqueId val="{00000000-144D-47C5-AA4B-78B83CCE44E9}"/>
            </c:ext>
          </c:extLst>
        </c:ser>
        <c:dLbls>
          <c:showLegendKey val="0"/>
          <c:showVal val="0"/>
          <c:showCatName val="0"/>
          <c:showSerName val="0"/>
          <c:showPercent val="0"/>
          <c:showBubbleSize val="0"/>
        </c:dLbls>
        <c:gapWidth val="182"/>
        <c:axId val="1743776816"/>
        <c:axId val="379246095"/>
      </c:barChart>
      <c:catAx>
        <c:axId val="174377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6095"/>
        <c:crosses val="autoZero"/>
        <c:auto val="1"/>
        <c:lblAlgn val="ctr"/>
        <c:lblOffset val="100"/>
        <c:noMultiLvlLbl val="0"/>
      </c:catAx>
      <c:valAx>
        <c:axId val="37924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7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 5!PivotTable5</c:name>
    <c:fmtId val="1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Monthly Sales Trend</a:t>
            </a:r>
          </a:p>
          <a:p>
            <a:pPr>
              <a:defRPr b="1">
                <a:solidFill>
                  <a:srgbClr val="FF0000"/>
                </a:solidFill>
              </a:defRPr>
            </a:pPr>
            <a:endParaRPr lang="en-IN"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5'!$A$4:$A$7</c:f>
              <c:strCache>
                <c:ptCount val="3"/>
                <c:pt idx="0">
                  <c:v>January</c:v>
                </c:pt>
                <c:pt idx="1">
                  <c:v>February</c:v>
                </c:pt>
                <c:pt idx="2">
                  <c:v>March</c:v>
                </c:pt>
              </c:strCache>
            </c:strRef>
          </c:cat>
          <c:val>
            <c:numRef>
              <c:f>'Pivot Table 5'!$B$4:$B$7</c:f>
              <c:numCache>
                <c:formatCode>General</c:formatCode>
                <c:ptCount val="3"/>
                <c:pt idx="0">
                  <c:v>46040</c:v>
                </c:pt>
                <c:pt idx="1">
                  <c:v>38270</c:v>
                </c:pt>
                <c:pt idx="2">
                  <c:v>54440</c:v>
                </c:pt>
              </c:numCache>
            </c:numRef>
          </c:val>
          <c:smooth val="0"/>
          <c:extLst>
            <c:ext xmlns:c16="http://schemas.microsoft.com/office/drawing/2014/chart" uri="{C3380CC4-5D6E-409C-BE32-E72D297353CC}">
              <c16:uniqueId val="{00000000-7530-442D-86AA-13E3DD77903C}"/>
            </c:ext>
          </c:extLst>
        </c:ser>
        <c:dLbls>
          <c:showLegendKey val="0"/>
          <c:showVal val="0"/>
          <c:showCatName val="0"/>
          <c:showSerName val="0"/>
          <c:showPercent val="0"/>
          <c:showBubbleSize val="0"/>
        </c:dLbls>
        <c:marker val="1"/>
        <c:smooth val="0"/>
        <c:axId val="1758269328"/>
        <c:axId val="379241775"/>
      </c:lineChart>
      <c:catAx>
        <c:axId val="175826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1775"/>
        <c:crosses val="autoZero"/>
        <c:auto val="1"/>
        <c:lblAlgn val="ctr"/>
        <c:lblOffset val="100"/>
        <c:noMultiLvlLbl val="0"/>
      </c:catAx>
      <c:valAx>
        <c:axId val="3792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2693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 3!PivotTable3</c:name>
    <c:fmtId val="4"/>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Sales by Payment Mode</a:t>
            </a:r>
            <a:endParaRPr lang="en-IN"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F2-4CF4-B697-BDCC6A571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F2-4CF4-B697-BDCC6A5718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F2-4CF4-B697-BDCC6A5718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F2-4CF4-B697-BDCC6A5718C9}"/>
              </c:ext>
            </c:extLst>
          </c:dPt>
          <c:cat>
            <c:strRef>
              <c:f>'Pivot Table 3'!$A$4:$A$8</c:f>
              <c:strCache>
                <c:ptCount val="4"/>
                <c:pt idx="0">
                  <c:v>Card</c:v>
                </c:pt>
                <c:pt idx="1">
                  <c:v>Cash</c:v>
                </c:pt>
                <c:pt idx="2">
                  <c:v>Net Banking</c:v>
                </c:pt>
                <c:pt idx="3">
                  <c:v>UPI</c:v>
                </c:pt>
              </c:strCache>
            </c:strRef>
          </c:cat>
          <c:val>
            <c:numRef>
              <c:f>'Pivot Table 3'!$B$4:$B$8</c:f>
              <c:numCache>
                <c:formatCode>General</c:formatCode>
                <c:ptCount val="4"/>
                <c:pt idx="0">
                  <c:v>34130</c:v>
                </c:pt>
                <c:pt idx="1">
                  <c:v>34190</c:v>
                </c:pt>
                <c:pt idx="2">
                  <c:v>38390</c:v>
                </c:pt>
                <c:pt idx="3">
                  <c:v>32040</c:v>
                </c:pt>
              </c:numCache>
            </c:numRef>
          </c:val>
          <c:extLst>
            <c:ext xmlns:c16="http://schemas.microsoft.com/office/drawing/2014/chart" uri="{C3380CC4-5D6E-409C-BE32-E72D297353CC}">
              <c16:uniqueId val="{00000008-3AF2-4CF4-B697-BDCC6A5718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 Table 7!PivotTable7</c:name>
    <c:fmtId val="3"/>
  </c:pivotSource>
  <c:chart>
    <c:title>
      <c:tx>
        <c:rich>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r>
              <a:rPr lang="en-IN" sz="1400" b="1" i="0" u="none" strike="noStrike" baseline="0">
                <a:solidFill>
                  <a:srgbClr val="FF0000"/>
                </a:solidFill>
              </a:rPr>
              <a:t>Product-wise Sales</a:t>
            </a:r>
            <a:endParaRPr lang="en-IN"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lgn="ctr">
            <a:defRPr sz="1400" b="1"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7'!$B$4</c:f>
              <c:strCache>
                <c:ptCount val="1"/>
                <c:pt idx="0">
                  <c:v>Total</c:v>
                </c:pt>
              </c:strCache>
            </c:strRef>
          </c:tx>
          <c:spPr>
            <a:solidFill>
              <a:schemeClr val="accent1"/>
            </a:solidFill>
            <a:ln>
              <a:noFill/>
            </a:ln>
            <a:effectLst/>
          </c:spPr>
          <c:invertIfNegative val="0"/>
          <c:cat>
            <c:strRef>
              <c:f>'Pivot Table 7'!$A$5:$A$17</c:f>
              <c:strCache>
                <c:ptCount val="12"/>
                <c:pt idx="0">
                  <c:v>Biscuits</c:v>
                </c:pt>
                <c:pt idx="1">
                  <c:v>Chips</c:v>
                </c:pt>
                <c:pt idx="2">
                  <c:v>Coffee</c:v>
                </c:pt>
                <c:pt idx="3">
                  <c:v>Cooking Oil</c:v>
                </c:pt>
                <c:pt idx="4">
                  <c:v>Juice</c:v>
                </c:pt>
                <c:pt idx="5">
                  <c:v>Namkeen</c:v>
                </c:pt>
                <c:pt idx="6">
                  <c:v>Rice</c:v>
                </c:pt>
                <c:pt idx="7">
                  <c:v>Shampoo</c:v>
                </c:pt>
                <c:pt idx="8">
                  <c:v>Soap</c:v>
                </c:pt>
                <c:pt idx="9">
                  <c:v>Soft Drink</c:v>
                </c:pt>
                <c:pt idx="10">
                  <c:v>Toothpaste</c:v>
                </c:pt>
                <c:pt idx="11">
                  <c:v>Wheat</c:v>
                </c:pt>
              </c:strCache>
            </c:strRef>
          </c:cat>
          <c:val>
            <c:numRef>
              <c:f>'Pivot Table 7'!$B$5:$B$17</c:f>
              <c:numCache>
                <c:formatCode>General</c:formatCode>
                <c:ptCount val="12"/>
                <c:pt idx="0">
                  <c:v>2400</c:v>
                </c:pt>
                <c:pt idx="1">
                  <c:v>800</c:v>
                </c:pt>
                <c:pt idx="2">
                  <c:v>12750</c:v>
                </c:pt>
                <c:pt idx="3">
                  <c:v>12060</c:v>
                </c:pt>
                <c:pt idx="4">
                  <c:v>2280</c:v>
                </c:pt>
                <c:pt idx="5">
                  <c:v>1620</c:v>
                </c:pt>
                <c:pt idx="6">
                  <c:v>55250</c:v>
                </c:pt>
                <c:pt idx="7">
                  <c:v>17850</c:v>
                </c:pt>
                <c:pt idx="8">
                  <c:v>2040</c:v>
                </c:pt>
                <c:pt idx="9">
                  <c:v>2480</c:v>
                </c:pt>
                <c:pt idx="10">
                  <c:v>9720</c:v>
                </c:pt>
                <c:pt idx="11">
                  <c:v>19500</c:v>
                </c:pt>
              </c:numCache>
            </c:numRef>
          </c:val>
          <c:extLst>
            <c:ext xmlns:c16="http://schemas.microsoft.com/office/drawing/2014/chart" uri="{C3380CC4-5D6E-409C-BE32-E72D297353CC}">
              <c16:uniqueId val="{00000000-13B0-488A-AC8D-273BABBEAF81}"/>
            </c:ext>
          </c:extLst>
        </c:ser>
        <c:dLbls>
          <c:showLegendKey val="0"/>
          <c:showVal val="0"/>
          <c:showCatName val="0"/>
          <c:showSerName val="0"/>
          <c:showPercent val="0"/>
          <c:showBubbleSize val="0"/>
        </c:dLbls>
        <c:gapWidth val="219"/>
        <c:overlap val="-27"/>
        <c:axId val="1743769392"/>
        <c:axId val="1769542288"/>
      </c:barChart>
      <c:catAx>
        <c:axId val="174376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542288"/>
        <c:crosses val="autoZero"/>
        <c:auto val="1"/>
        <c:lblAlgn val="ctr"/>
        <c:lblOffset val="100"/>
        <c:noMultiLvlLbl val="0"/>
      </c:catAx>
      <c:valAx>
        <c:axId val="176954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76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103472</xdr:colOff>
      <xdr:row>6</xdr:row>
      <xdr:rowOff>69783</xdr:rowOff>
    </xdr:from>
    <xdr:to>
      <xdr:col>8</xdr:col>
      <xdr:colOff>430156</xdr:colOff>
      <xdr:row>22</xdr:row>
      <xdr:rowOff>62205</xdr:rowOff>
    </xdr:to>
    <xdr:graphicFrame macro="">
      <xdr:nvGraphicFramePr>
        <xdr:cNvPr id="6" name="Chart 5">
          <a:extLst>
            <a:ext uri="{FF2B5EF4-FFF2-40B4-BE49-F238E27FC236}">
              <a16:creationId xmlns:a16="http://schemas.microsoft.com/office/drawing/2014/main" id="{96D3B674-B2AA-4F98-93BE-6A5A88C4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595964</xdr:colOff>
      <xdr:row>6</xdr:row>
      <xdr:rowOff>87027</xdr:rowOff>
    </xdr:from>
    <xdr:to>
      <xdr:col>17</xdr:col>
      <xdr:colOff>491517</xdr:colOff>
      <xdr:row>22</xdr:row>
      <xdr:rowOff>79449</xdr:rowOff>
    </xdr:to>
    <xdr:graphicFrame macro="">
      <xdr:nvGraphicFramePr>
        <xdr:cNvPr id="7" name="Chart 6">
          <a:extLst>
            <a:ext uri="{FF2B5EF4-FFF2-40B4-BE49-F238E27FC236}">
              <a16:creationId xmlns:a16="http://schemas.microsoft.com/office/drawing/2014/main" id="{5CA0EDFD-451A-4A97-B721-4FD3E5CF9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49328</xdr:colOff>
      <xdr:row>23</xdr:row>
      <xdr:rowOff>165233</xdr:rowOff>
    </xdr:from>
    <xdr:to>
      <xdr:col>8</xdr:col>
      <xdr:colOff>376012</xdr:colOff>
      <xdr:row>39</xdr:row>
      <xdr:rowOff>157654</xdr:rowOff>
    </xdr:to>
    <xdr:graphicFrame macro="">
      <xdr:nvGraphicFramePr>
        <xdr:cNvPr id="9" name="Chart 8">
          <a:extLst>
            <a:ext uri="{FF2B5EF4-FFF2-40B4-BE49-F238E27FC236}">
              <a16:creationId xmlns:a16="http://schemas.microsoft.com/office/drawing/2014/main" id="{15AA0780-2796-43FE-A8B4-9525538CA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610001</xdr:colOff>
      <xdr:row>23</xdr:row>
      <xdr:rowOff>179671</xdr:rowOff>
    </xdr:from>
    <xdr:to>
      <xdr:col>17</xdr:col>
      <xdr:colOff>505554</xdr:colOff>
      <xdr:row>39</xdr:row>
      <xdr:rowOff>172092</xdr:rowOff>
    </xdr:to>
    <xdr:graphicFrame macro="">
      <xdr:nvGraphicFramePr>
        <xdr:cNvPr id="11" name="Chart 10">
          <a:extLst>
            <a:ext uri="{FF2B5EF4-FFF2-40B4-BE49-F238E27FC236}">
              <a16:creationId xmlns:a16="http://schemas.microsoft.com/office/drawing/2014/main" id="{DAC862D8-FCC4-4E38-9819-1080BA764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587140</xdr:colOff>
      <xdr:row>41</xdr:row>
      <xdr:rowOff>107882</xdr:rowOff>
    </xdr:from>
    <xdr:to>
      <xdr:col>13</xdr:col>
      <xdr:colOff>482693</xdr:colOff>
      <xdr:row>57</xdr:row>
      <xdr:rowOff>100303</xdr:rowOff>
    </xdr:to>
    <xdr:graphicFrame macro="">
      <xdr:nvGraphicFramePr>
        <xdr:cNvPr id="14" name="Chart 13">
          <a:extLst>
            <a:ext uri="{FF2B5EF4-FFF2-40B4-BE49-F238E27FC236}">
              <a16:creationId xmlns:a16="http://schemas.microsoft.com/office/drawing/2014/main" id="{0387BB5A-7A2D-4D8E-B5AD-8E67A2E9E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339691</xdr:colOff>
      <xdr:row>2</xdr:row>
      <xdr:rowOff>152399</xdr:rowOff>
    </xdr:from>
    <xdr:to>
      <xdr:col>22</xdr:col>
      <xdr:colOff>556480</xdr:colOff>
      <xdr:row>13</xdr:row>
      <xdr:rowOff>56478</xdr:rowOff>
    </xdr:to>
    <mc:AlternateContent xmlns:mc="http://schemas.openxmlformats.org/markup-compatibility/2006">
      <mc:Choice xmlns:a14="http://schemas.microsoft.com/office/drawing/2010/main" Requires="a14">
        <xdr:graphicFrame macro="">
          <xdr:nvGraphicFramePr>
            <xdr:cNvPr id="19" name="City">
              <a:extLst>
                <a:ext uri="{FF2B5EF4-FFF2-40B4-BE49-F238E27FC236}">
                  <a16:creationId xmlns:a16="http://schemas.microsoft.com/office/drawing/2014/main" id="{9199E0C5-25DB-808C-8D75-2CF060A1F5A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363875" y="954504"/>
              <a:ext cx="1440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220578</xdr:colOff>
      <xdr:row>3</xdr:row>
      <xdr:rowOff>3609</xdr:rowOff>
    </xdr:from>
    <xdr:to>
      <xdr:col>25</xdr:col>
      <xdr:colOff>437367</xdr:colOff>
      <xdr:row>13</xdr:row>
      <xdr:rowOff>88162</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FE14007D-D102-267C-CA60-5D590CEF3B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079578" y="986188"/>
              <a:ext cx="14400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603275</xdr:colOff>
      <xdr:row>2</xdr:row>
      <xdr:rowOff>141297</xdr:rowOff>
    </xdr:from>
    <xdr:to>
      <xdr:col>28</xdr:col>
      <xdr:colOff>208460</xdr:colOff>
      <xdr:row>17</xdr:row>
      <xdr:rowOff>43481</xdr:rowOff>
    </xdr:to>
    <mc:AlternateContent xmlns:mc="http://schemas.openxmlformats.org/markup-compatibility/2006">
      <mc:Choice xmlns:a14="http://schemas.microsoft.com/office/drawing/2010/main" Requires="a14">
        <xdr:graphicFrame macro="">
          <xdr:nvGraphicFramePr>
            <xdr:cNvPr id="21" name="Product">
              <a:extLst>
                <a:ext uri="{FF2B5EF4-FFF2-40B4-BE49-F238E27FC236}">
                  <a16:creationId xmlns:a16="http://schemas.microsoft.com/office/drawing/2014/main" id="{76B29A94-BC5A-0327-18F8-E067BEA52D8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685486" y="943402"/>
              <a:ext cx="144000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61.939474884261" createdVersion="8" refreshedVersion="8" minRefreshableVersion="3" recordCount="100" xr:uid="{C4DA2A80-5A93-463D-83E5-36D9C2CE40CA}">
  <cacheSource type="worksheet">
    <worksheetSource ref="A1:J101" sheet="Data"/>
  </cacheSource>
  <cacheFields count="10">
    <cacheField name="Date" numFmtId="0">
      <sharedItems count="62">
        <s v="05-02-2026"/>
        <s v="24-02-2026"/>
        <s v="19-03-2026"/>
        <s v="17-03-2026"/>
        <s v="20-01-2026"/>
        <s v="15-02-2026"/>
        <s v="16-01-2026"/>
        <s v="25-01-2026"/>
        <s v="13-01-2026"/>
        <s v="01-03-2026"/>
        <s v="30-01-2026"/>
        <s v="14-03-2026"/>
        <s v="03-02-2026"/>
        <s v="21-02-2026"/>
        <s v="15-01-2026"/>
        <s v="18-03-2026"/>
        <s v="10-03-2026"/>
        <s v="28-02-2026"/>
        <s v="08-02-2026"/>
        <s v="11-03-2026"/>
        <s v="11-01-2026"/>
        <s v="02-03-2026"/>
        <s v="30-03-2026"/>
        <s v="27-02-2026"/>
        <s v="22-03-2026"/>
        <s v="07-03-2026"/>
        <s v="15-03-2026"/>
        <s v="07-01-2026"/>
        <s v="25-03-2026"/>
        <s v="04-03-2026"/>
        <s v="01-01-2026"/>
        <s v="13-03-2026"/>
        <s v="16-03-2026"/>
        <s v="03-03-2026"/>
        <s v="09-01-2026"/>
        <s v="01-02-2026"/>
        <s v="10-02-2026"/>
        <s v="28-01-2026"/>
        <s v="17-02-2026"/>
        <s v="12-03-2026"/>
        <s v="29-03-2026"/>
        <s v="23-03-2026"/>
        <s v="10-01-2026"/>
        <s v="17-01-2026"/>
        <s v="21-01-2026"/>
        <s v="27-03-2026"/>
        <s v="29-01-2026"/>
        <s v="25-02-2026"/>
        <s v="07-02-2026"/>
        <s v="23-01-2026"/>
        <s v="06-02-2026"/>
        <s v="26-02-2026"/>
        <s v="26-01-2026"/>
        <s v="18-01-2026"/>
        <s v="06-03-2026"/>
        <s v="31-03-2026"/>
        <s v="04-02-2026"/>
        <s v="28-03-2026"/>
        <s v="24-01-2026"/>
        <s v="11-02-2026"/>
        <s v="14-01-2026"/>
        <s v="08-03-2026"/>
      </sharedItems>
    </cacheField>
    <cacheField name="Invoice_ID" numFmtId="0">
      <sharedItems/>
    </cacheField>
    <cacheField name="Customer" numFmtId="0">
      <sharedItems/>
    </cacheField>
    <cacheField name="City" numFmtId="0">
      <sharedItems count="5">
        <s v="Mumbai"/>
        <s v="Chennai"/>
        <s v="Delhi"/>
        <s v="Hyderabad"/>
        <s v="Bangalore"/>
      </sharedItems>
    </cacheField>
    <cacheField name="Category" numFmtId="0">
      <sharedItems count="4">
        <s v="Grocery"/>
        <s v="Beverages"/>
        <s v="Snacks"/>
        <s v="Personal Care"/>
      </sharedItems>
    </cacheField>
    <cacheField name="Product"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40" maxValue="850"/>
    </cacheField>
    <cacheField name="Payment_Mode" numFmtId="0">
      <sharedItems count="4">
        <s v="UPI"/>
        <s v="Card"/>
        <s v="Net Banking"/>
        <s v="Cash"/>
      </sharedItems>
    </cacheField>
    <cacheField name="Total_Sales" numFmtId="0">
      <sharedItems containsSemiMixedTypes="0" containsString="0" containsNumber="1" containsInteger="1" minValue="50" maxValue="8500"/>
    </cacheField>
  </cacheFields>
  <extLst>
    <ext xmlns:x14="http://schemas.microsoft.com/office/spreadsheetml/2009/9/main" uri="{725AE2AE-9491-48be-B2B4-4EB974FC3084}">
      <x14:pivotCacheDefinition pivotCacheId="10636357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61.963745138892" createdVersion="8" refreshedVersion="8" minRefreshableVersion="3" recordCount="100" xr:uid="{21A2ACEC-31ED-45A3-ABEA-3F5BA25B2AA9}">
  <cacheSource type="worksheet">
    <worksheetSource ref="A1:K101" sheet="Data"/>
  </cacheSource>
  <cacheFields count="11">
    <cacheField name="Date" numFmtId="14">
      <sharedItems containsSemiMixedTypes="0" containsNonDate="0" containsDate="1" containsString="0" minDate="2026-01-01T00:00:00" maxDate="2026-04-01T00:00:00"/>
    </cacheField>
    <cacheField name="Invoice_ID" numFmtId="0">
      <sharedItems/>
    </cacheField>
    <cacheField name="Customer" numFmtId="0">
      <sharedItems/>
    </cacheField>
    <cacheField name="City" numFmtId="0">
      <sharedItems/>
    </cacheField>
    <cacheField name="Category" numFmtId="0">
      <sharedItems/>
    </cacheField>
    <cacheField name="Product" numFmtId="0">
      <sharedItems count="12">
        <s v="Rice"/>
        <s v="Cooking Oil"/>
        <s v="Soft Drink"/>
        <s v="Coffee"/>
        <s v="Chips"/>
        <s v="Shampoo"/>
        <s v="Toothpaste"/>
        <s v="Namkeen"/>
        <s v="Juice"/>
        <s v="Biscuits"/>
        <s v="Soap"/>
        <s v="Wheat"/>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40" maxValue="850"/>
    </cacheField>
    <cacheField name="Payment_Mode" numFmtId="0">
      <sharedItems/>
    </cacheField>
    <cacheField name="Total_Sales" numFmtId="0">
      <sharedItems containsSemiMixedTypes="0" containsString="0" containsNumber="1" containsInteger="1" minValue="50" maxValue="8500" count="52">
        <n v="3400"/>
        <n v="180"/>
        <n v="80"/>
        <n v="1250"/>
        <n v="160"/>
        <n v="2100"/>
        <n v="840"/>
        <n v="5950"/>
        <n v="1000"/>
        <n v="50"/>
        <n v="5100"/>
        <n v="1050"/>
        <n v="720"/>
        <n v="2550"/>
        <n v="480"/>
        <n v="900"/>
        <n v="350"/>
        <n v="1620"/>
        <n v="450"/>
        <n v="320"/>
        <n v="240"/>
        <n v="850"/>
        <n v="200"/>
        <n v="800"/>
        <n v="700"/>
        <n v="120"/>
        <n v="2800"/>
        <n v="7650"/>
        <n v="2000"/>
        <n v="1750"/>
        <n v="960"/>
        <n v="1080"/>
        <n v="8500"/>
        <n v="1800"/>
        <n v="1200"/>
        <n v="4250"/>
        <n v="250"/>
        <n v="360"/>
        <n v="1400"/>
        <n v="300"/>
        <n v="600"/>
        <n v="500"/>
        <n v="5000"/>
        <n v="150"/>
        <n v="3150"/>
        <n v="4000"/>
        <n v="630"/>
        <n v="3500"/>
        <n v="2450"/>
        <n v="1500"/>
        <n v="2500"/>
        <n v="420"/>
      </sharedItems>
    </cacheField>
    <cacheField name="Month" numFmtId="0">
      <sharedItems count="3">
        <s v="February"/>
        <s v="March"/>
        <s v="January"/>
      </sharedItems>
    </cacheField>
  </cacheFields>
  <extLst>
    <ext xmlns:x14="http://schemas.microsoft.com/office/spreadsheetml/2009/9/main" uri="{725AE2AE-9491-48be-B2B4-4EB974FC3084}">
      <x14:pivotCacheDefinition pivotCacheId="1318723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INV001"/>
    <s v="Meena"/>
    <x v="0"/>
    <x v="0"/>
    <s v="Rice"/>
    <n v="4"/>
    <n v="850"/>
    <x v="0"/>
    <n v="3400"/>
  </r>
  <r>
    <x v="1"/>
    <s v="INV002"/>
    <s v="Arun"/>
    <x v="1"/>
    <x v="0"/>
    <s v="Cooking Oil"/>
    <n v="1"/>
    <n v="180"/>
    <x v="1"/>
    <n v="180"/>
  </r>
  <r>
    <x v="2"/>
    <s v="INV003"/>
    <s v="Vijay"/>
    <x v="0"/>
    <x v="1"/>
    <s v="Soft Drink"/>
    <n v="1"/>
    <n v="80"/>
    <x v="2"/>
    <n v="80"/>
  </r>
  <r>
    <x v="3"/>
    <s v="INV004"/>
    <s v="Arun"/>
    <x v="0"/>
    <x v="1"/>
    <s v="Coffee"/>
    <n v="5"/>
    <n v="250"/>
    <x v="2"/>
    <n v="1250"/>
  </r>
  <r>
    <x v="4"/>
    <s v="INV005"/>
    <s v="Divya"/>
    <x v="1"/>
    <x v="2"/>
    <s v="Chips"/>
    <n v="4"/>
    <n v="40"/>
    <x v="0"/>
    <n v="160"/>
  </r>
  <r>
    <x v="5"/>
    <s v="INV006"/>
    <s v="Lakshmi"/>
    <x v="2"/>
    <x v="3"/>
    <s v="Shampoo"/>
    <n v="6"/>
    <n v="350"/>
    <x v="0"/>
    <n v="2100"/>
  </r>
  <r>
    <x v="6"/>
    <s v="INV007"/>
    <s v="Priya"/>
    <x v="3"/>
    <x v="3"/>
    <s v="Toothpaste"/>
    <n v="7"/>
    <n v="120"/>
    <x v="3"/>
    <n v="840"/>
  </r>
  <r>
    <x v="7"/>
    <s v="INV008"/>
    <s v="Arun"/>
    <x v="0"/>
    <x v="2"/>
    <s v="Namkeen"/>
    <n v="2"/>
    <n v="90"/>
    <x v="3"/>
    <n v="180"/>
  </r>
  <r>
    <x v="8"/>
    <s v="INV009"/>
    <s v="Ravi"/>
    <x v="4"/>
    <x v="0"/>
    <s v="Rice"/>
    <n v="7"/>
    <n v="850"/>
    <x v="3"/>
    <n v="5950"/>
  </r>
  <r>
    <x v="5"/>
    <s v="INV010"/>
    <s v="Ravi"/>
    <x v="1"/>
    <x v="1"/>
    <s v="Coffee"/>
    <n v="4"/>
    <n v="250"/>
    <x v="1"/>
    <n v="1000"/>
  </r>
  <r>
    <x v="9"/>
    <s v="INV011"/>
    <s v="Ravi"/>
    <x v="3"/>
    <x v="1"/>
    <s v="Juice"/>
    <n v="7"/>
    <n v="120"/>
    <x v="1"/>
    <n v="840"/>
  </r>
  <r>
    <x v="10"/>
    <s v="INV012"/>
    <s v="Divya"/>
    <x v="4"/>
    <x v="2"/>
    <s v="Biscuits"/>
    <n v="1"/>
    <n v="50"/>
    <x v="3"/>
    <n v="50"/>
  </r>
  <r>
    <x v="11"/>
    <s v="INV013"/>
    <s v="Meena"/>
    <x v="4"/>
    <x v="0"/>
    <s v="Rice"/>
    <n v="6"/>
    <n v="850"/>
    <x v="2"/>
    <n v="5100"/>
  </r>
  <r>
    <x v="12"/>
    <s v="INV014"/>
    <s v="Meena"/>
    <x v="3"/>
    <x v="3"/>
    <s v="Shampoo"/>
    <n v="3"/>
    <n v="350"/>
    <x v="3"/>
    <n v="1050"/>
  </r>
  <r>
    <x v="13"/>
    <s v="INV015"/>
    <s v="Meena"/>
    <x v="0"/>
    <x v="3"/>
    <s v="Toothpaste"/>
    <n v="6"/>
    <n v="120"/>
    <x v="2"/>
    <n v="720"/>
  </r>
  <r>
    <x v="14"/>
    <s v="INV016"/>
    <s v="Kumar"/>
    <x v="4"/>
    <x v="0"/>
    <s v="Rice"/>
    <n v="3"/>
    <n v="850"/>
    <x v="0"/>
    <n v="2550"/>
  </r>
  <r>
    <x v="15"/>
    <s v="INV017"/>
    <s v="Vijay"/>
    <x v="2"/>
    <x v="3"/>
    <s v="Soap"/>
    <n v="8"/>
    <n v="60"/>
    <x v="0"/>
    <n v="480"/>
  </r>
  <r>
    <x v="16"/>
    <s v="INV018"/>
    <s v="Divya"/>
    <x v="1"/>
    <x v="0"/>
    <s v="Cooking Oil"/>
    <n v="5"/>
    <n v="180"/>
    <x v="3"/>
    <n v="900"/>
  </r>
  <r>
    <x v="17"/>
    <s v="INV019"/>
    <s v="Ravi"/>
    <x v="3"/>
    <x v="3"/>
    <s v="Shampoo"/>
    <n v="1"/>
    <n v="350"/>
    <x v="1"/>
    <n v="350"/>
  </r>
  <r>
    <x v="18"/>
    <s v="INV020"/>
    <s v="Lakshmi"/>
    <x v="0"/>
    <x v="0"/>
    <s v="Cooking Oil"/>
    <n v="9"/>
    <n v="180"/>
    <x v="1"/>
    <n v="1620"/>
  </r>
  <r>
    <x v="19"/>
    <s v="INV021"/>
    <s v="Arun"/>
    <x v="3"/>
    <x v="2"/>
    <s v="Biscuits"/>
    <n v="9"/>
    <n v="50"/>
    <x v="3"/>
    <n v="450"/>
  </r>
  <r>
    <x v="14"/>
    <s v="INV022"/>
    <s v="Ravi"/>
    <x v="0"/>
    <x v="3"/>
    <s v="Shampoo"/>
    <n v="6"/>
    <n v="350"/>
    <x v="0"/>
    <n v="2100"/>
  </r>
  <r>
    <x v="20"/>
    <s v="INV023"/>
    <s v="Anitha"/>
    <x v="1"/>
    <x v="1"/>
    <s v="Soft Drink"/>
    <n v="2"/>
    <n v="80"/>
    <x v="1"/>
    <n v="160"/>
  </r>
  <r>
    <x v="21"/>
    <s v="INV024"/>
    <s v="Kumar"/>
    <x v="2"/>
    <x v="1"/>
    <s v="Soft Drink"/>
    <n v="9"/>
    <n v="80"/>
    <x v="2"/>
    <n v="720"/>
  </r>
  <r>
    <x v="22"/>
    <s v="INV025"/>
    <s v="Ravi"/>
    <x v="4"/>
    <x v="1"/>
    <s v="Soft Drink"/>
    <n v="4"/>
    <n v="80"/>
    <x v="3"/>
    <n v="320"/>
  </r>
  <r>
    <x v="23"/>
    <s v="INV026"/>
    <s v="Meena"/>
    <x v="0"/>
    <x v="3"/>
    <s v="Toothpaste"/>
    <n v="2"/>
    <n v="120"/>
    <x v="0"/>
    <n v="240"/>
  </r>
  <r>
    <x v="3"/>
    <s v="INV027"/>
    <s v="Meena"/>
    <x v="3"/>
    <x v="2"/>
    <s v="Biscuits"/>
    <n v="9"/>
    <n v="50"/>
    <x v="1"/>
    <n v="450"/>
  </r>
  <r>
    <x v="24"/>
    <s v="INV028"/>
    <s v="Meena"/>
    <x v="1"/>
    <x v="0"/>
    <s v="Rice"/>
    <n v="1"/>
    <n v="850"/>
    <x v="0"/>
    <n v="850"/>
  </r>
  <r>
    <x v="25"/>
    <s v="INV029"/>
    <s v="Ravi"/>
    <x v="4"/>
    <x v="2"/>
    <s v="Biscuits"/>
    <n v="4"/>
    <n v="50"/>
    <x v="1"/>
    <n v="200"/>
  </r>
  <r>
    <x v="26"/>
    <s v="INV030"/>
    <s v="Anitha"/>
    <x v="0"/>
    <x v="1"/>
    <s v="Soft Drink"/>
    <n v="10"/>
    <n v="80"/>
    <x v="2"/>
    <n v="800"/>
  </r>
  <r>
    <x v="8"/>
    <s v="INV031"/>
    <s v="Suresh"/>
    <x v="2"/>
    <x v="3"/>
    <s v="Shampoo"/>
    <n v="2"/>
    <n v="350"/>
    <x v="2"/>
    <n v="700"/>
  </r>
  <r>
    <x v="27"/>
    <s v="INV032"/>
    <s v="Arun"/>
    <x v="4"/>
    <x v="3"/>
    <s v="Soap"/>
    <n v="2"/>
    <n v="60"/>
    <x v="3"/>
    <n v="120"/>
  </r>
  <r>
    <x v="7"/>
    <s v="INV033"/>
    <s v="Vijay"/>
    <x v="4"/>
    <x v="0"/>
    <s v="Rice"/>
    <n v="4"/>
    <n v="850"/>
    <x v="1"/>
    <n v="3400"/>
  </r>
  <r>
    <x v="0"/>
    <s v="INV034"/>
    <s v="Meena"/>
    <x v="1"/>
    <x v="3"/>
    <s v="Shampoo"/>
    <n v="8"/>
    <n v="350"/>
    <x v="2"/>
    <n v="2800"/>
  </r>
  <r>
    <x v="28"/>
    <s v="INV035"/>
    <s v="Arun"/>
    <x v="1"/>
    <x v="0"/>
    <s v="Rice"/>
    <n v="9"/>
    <n v="850"/>
    <x v="1"/>
    <n v="7650"/>
  </r>
  <r>
    <x v="29"/>
    <s v="INV036"/>
    <s v="Meena"/>
    <x v="4"/>
    <x v="1"/>
    <s v="Coffee"/>
    <n v="8"/>
    <n v="250"/>
    <x v="0"/>
    <n v="2000"/>
  </r>
  <r>
    <x v="30"/>
    <s v="INV037"/>
    <s v="Ravi"/>
    <x v="4"/>
    <x v="1"/>
    <s v="Coffee"/>
    <n v="7"/>
    <n v="250"/>
    <x v="3"/>
    <n v="1750"/>
  </r>
  <r>
    <x v="31"/>
    <s v="INV038"/>
    <s v="Kumar"/>
    <x v="0"/>
    <x v="3"/>
    <s v="Toothpaste"/>
    <n v="8"/>
    <n v="120"/>
    <x v="3"/>
    <n v="960"/>
  </r>
  <r>
    <x v="32"/>
    <s v="INV039"/>
    <s v="Arun"/>
    <x v="2"/>
    <x v="1"/>
    <s v="Juice"/>
    <n v="9"/>
    <n v="120"/>
    <x v="0"/>
    <n v="1080"/>
  </r>
  <r>
    <x v="33"/>
    <s v="INV040"/>
    <s v="Vijay"/>
    <x v="0"/>
    <x v="0"/>
    <s v="Cooking Oil"/>
    <n v="9"/>
    <n v="180"/>
    <x v="0"/>
    <n v="1620"/>
  </r>
  <r>
    <x v="34"/>
    <s v="INV041"/>
    <s v="Priya"/>
    <x v="0"/>
    <x v="0"/>
    <s v="Rice"/>
    <n v="10"/>
    <n v="850"/>
    <x v="2"/>
    <n v="8500"/>
  </r>
  <r>
    <x v="35"/>
    <s v="INV042"/>
    <s v="Lakshmi"/>
    <x v="1"/>
    <x v="0"/>
    <s v="Cooking Oil"/>
    <n v="10"/>
    <n v="180"/>
    <x v="0"/>
    <n v="1800"/>
  </r>
  <r>
    <x v="32"/>
    <s v="INV043"/>
    <s v="Vijay"/>
    <x v="2"/>
    <x v="3"/>
    <s v="Toothpaste"/>
    <n v="10"/>
    <n v="120"/>
    <x v="3"/>
    <n v="1200"/>
  </r>
  <r>
    <x v="36"/>
    <s v="INV044"/>
    <s v="Ravi"/>
    <x v="4"/>
    <x v="1"/>
    <s v="Soft Drink"/>
    <n v="4"/>
    <n v="80"/>
    <x v="1"/>
    <n v="320"/>
  </r>
  <r>
    <x v="36"/>
    <s v="INV045"/>
    <s v="Arun"/>
    <x v="4"/>
    <x v="2"/>
    <s v="Chips"/>
    <n v="2"/>
    <n v="40"/>
    <x v="0"/>
    <n v="80"/>
  </r>
  <r>
    <x v="37"/>
    <s v="INV046"/>
    <s v="Ravi"/>
    <x v="0"/>
    <x v="0"/>
    <s v="Cooking Oil"/>
    <n v="9"/>
    <n v="180"/>
    <x v="3"/>
    <n v="1620"/>
  </r>
  <r>
    <x v="38"/>
    <s v="INV047"/>
    <s v="Kumar"/>
    <x v="4"/>
    <x v="0"/>
    <s v="Rice"/>
    <n v="5"/>
    <n v="850"/>
    <x v="3"/>
    <n v="4250"/>
  </r>
  <r>
    <x v="39"/>
    <s v="INV048"/>
    <s v="Priya"/>
    <x v="0"/>
    <x v="0"/>
    <s v="Cooking Oil"/>
    <n v="5"/>
    <n v="180"/>
    <x v="3"/>
    <n v="900"/>
  </r>
  <r>
    <x v="39"/>
    <s v="INV049"/>
    <s v="Ravi"/>
    <x v="2"/>
    <x v="0"/>
    <s v="Rice"/>
    <n v="3"/>
    <n v="850"/>
    <x v="1"/>
    <n v="2550"/>
  </r>
  <r>
    <x v="40"/>
    <s v="INV050"/>
    <s v="Vijay"/>
    <x v="4"/>
    <x v="2"/>
    <s v="Biscuits"/>
    <n v="5"/>
    <n v="50"/>
    <x v="3"/>
    <n v="250"/>
  </r>
  <r>
    <x v="41"/>
    <s v="INV051"/>
    <s v="Ravi"/>
    <x v="1"/>
    <x v="0"/>
    <s v="Rice"/>
    <n v="7"/>
    <n v="850"/>
    <x v="0"/>
    <n v="5950"/>
  </r>
  <r>
    <x v="41"/>
    <s v="INV052"/>
    <s v="Kumar"/>
    <x v="4"/>
    <x v="2"/>
    <s v="Biscuits"/>
    <n v="5"/>
    <n v="50"/>
    <x v="2"/>
    <n v="250"/>
  </r>
  <r>
    <x v="42"/>
    <s v="INV053"/>
    <s v="Vijay"/>
    <x v="1"/>
    <x v="0"/>
    <s v="Rice"/>
    <n v="3"/>
    <n v="850"/>
    <x v="3"/>
    <n v="2550"/>
  </r>
  <r>
    <x v="43"/>
    <s v="INV054"/>
    <s v="Ravi"/>
    <x v="2"/>
    <x v="1"/>
    <s v="Coffee"/>
    <n v="1"/>
    <n v="250"/>
    <x v="0"/>
    <n v="250"/>
  </r>
  <r>
    <x v="40"/>
    <s v="INV055"/>
    <s v="Priya"/>
    <x v="2"/>
    <x v="2"/>
    <s v="Biscuits"/>
    <n v="4"/>
    <n v="50"/>
    <x v="2"/>
    <n v="200"/>
  </r>
  <r>
    <x v="44"/>
    <s v="INV056"/>
    <s v="Suresh"/>
    <x v="1"/>
    <x v="1"/>
    <s v="Juice"/>
    <n v="3"/>
    <n v="120"/>
    <x v="1"/>
    <n v="360"/>
  </r>
  <r>
    <x v="45"/>
    <s v="INV057"/>
    <s v="Ravi"/>
    <x v="0"/>
    <x v="2"/>
    <s v="Chips"/>
    <n v="4"/>
    <n v="40"/>
    <x v="0"/>
    <n v="160"/>
  </r>
  <r>
    <x v="21"/>
    <s v="INV058"/>
    <s v="Meena"/>
    <x v="4"/>
    <x v="3"/>
    <s v="Shampoo"/>
    <n v="4"/>
    <n v="350"/>
    <x v="3"/>
    <n v="1400"/>
  </r>
  <r>
    <x v="46"/>
    <s v="INV059"/>
    <s v="Meena"/>
    <x v="4"/>
    <x v="2"/>
    <s v="Biscuits"/>
    <n v="1"/>
    <n v="50"/>
    <x v="3"/>
    <n v="50"/>
  </r>
  <r>
    <x v="0"/>
    <s v="INV060"/>
    <s v="Vijay"/>
    <x v="4"/>
    <x v="2"/>
    <s v="Biscuits"/>
    <n v="6"/>
    <n v="50"/>
    <x v="3"/>
    <n v="300"/>
  </r>
  <r>
    <x v="12"/>
    <s v="INV061"/>
    <s v="Lakshmi"/>
    <x v="2"/>
    <x v="0"/>
    <s v="Rice"/>
    <n v="3"/>
    <n v="850"/>
    <x v="0"/>
    <n v="2550"/>
  </r>
  <r>
    <x v="47"/>
    <s v="INV062"/>
    <s v="Divya"/>
    <x v="4"/>
    <x v="0"/>
    <s v="Cooking Oil"/>
    <n v="6"/>
    <n v="180"/>
    <x v="0"/>
    <n v="1080"/>
  </r>
  <r>
    <x v="7"/>
    <s v="INV063"/>
    <s v="Arun"/>
    <x v="4"/>
    <x v="3"/>
    <s v="Toothpaste"/>
    <n v="5"/>
    <n v="120"/>
    <x v="0"/>
    <n v="600"/>
  </r>
  <r>
    <x v="47"/>
    <s v="INV064"/>
    <s v="Divya"/>
    <x v="3"/>
    <x v="1"/>
    <s v="Coffee"/>
    <n v="2"/>
    <n v="250"/>
    <x v="3"/>
    <n v="500"/>
  </r>
  <r>
    <x v="18"/>
    <s v="INV065"/>
    <s v="Ravi"/>
    <x v="4"/>
    <x v="0"/>
    <s v="Cooking Oil"/>
    <n v="9"/>
    <n v="180"/>
    <x v="3"/>
    <n v="1620"/>
  </r>
  <r>
    <x v="48"/>
    <s v="INV066"/>
    <s v="Kumar"/>
    <x v="0"/>
    <x v="3"/>
    <s v="Toothpaste"/>
    <n v="9"/>
    <n v="120"/>
    <x v="2"/>
    <n v="1080"/>
  </r>
  <r>
    <x v="49"/>
    <s v="INV067"/>
    <s v="Lakshmi"/>
    <x v="2"/>
    <x v="3"/>
    <s v="Toothpaste"/>
    <n v="10"/>
    <n v="120"/>
    <x v="2"/>
    <n v="1200"/>
  </r>
  <r>
    <x v="50"/>
    <s v="INV068"/>
    <s v="Suresh"/>
    <x v="3"/>
    <x v="0"/>
    <s v="Wheat"/>
    <n v="4"/>
    <n v="500"/>
    <x v="3"/>
    <n v="2000"/>
  </r>
  <r>
    <x v="51"/>
    <s v="INV069"/>
    <s v="Vijay"/>
    <x v="4"/>
    <x v="3"/>
    <s v="Soap"/>
    <n v="4"/>
    <n v="60"/>
    <x v="1"/>
    <n v="240"/>
  </r>
  <r>
    <x v="25"/>
    <s v="INV070"/>
    <s v="Divya"/>
    <x v="1"/>
    <x v="0"/>
    <s v="Wheat"/>
    <n v="10"/>
    <n v="500"/>
    <x v="1"/>
    <n v="5000"/>
  </r>
  <r>
    <x v="52"/>
    <s v="INV071"/>
    <s v="Arun"/>
    <x v="1"/>
    <x v="2"/>
    <s v="Biscuits"/>
    <n v="3"/>
    <n v="50"/>
    <x v="1"/>
    <n v="150"/>
  </r>
  <r>
    <x v="42"/>
    <s v="INV072"/>
    <s v="Suresh"/>
    <x v="3"/>
    <x v="3"/>
    <s v="Toothpaste"/>
    <n v="8"/>
    <n v="120"/>
    <x v="1"/>
    <n v="960"/>
  </r>
  <r>
    <x v="13"/>
    <s v="INV073"/>
    <s v="Kumar"/>
    <x v="1"/>
    <x v="3"/>
    <s v="Soap"/>
    <n v="4"/>
    <n v="60"/>
    <x v="0"/>
    <n v="240"/>
  </r>
  <r>
    <x v="49"/>
    <s v="INV074"/>
    <s v="Anitha"/>
    <x v="1"/>
    <x v="3"/>
    <s v="Shampoo"/>
    <n v="9"/>
    <n v="350"/>
    <x v="1"/>
    <n v="3150"/>
  </r>
  <r>
    <x v="53"/>
    <s v="INV075"/>
    <s v="Vijay"/>
    <x v="3"/>
    <x v="0"/>
    <s v="Wheat"/>
    <n v="8"/>
    <n v="500"/>
    <x v="3"/>
    <n v="4000"/>
  </r>
  <r>
    <x v="54"/>
    <s v="INV076"/>
    <s v="Vijay"/>
    <x v="4"/>
    <x v="3"/>
    <s v="Toothpaste"/>
    <n v="7"/>
    <n v="120"/>
    <x v="1"/>
    <n v="840"/>
  </r>
  <r>
    <x v="12"/>
    <s v="INV077"/>
    <s v="Ravi"/>
    <x v="3"/>
    <x v="3"/>
    <s v="Soap"/>
    <n v="4"/>
    <n v="60"/>
    <x v="2"/>
    <n v="240"/>
  </r>
  <r>
    <x v="51"/>
    <s v="INV078"/>
    <s v="Ravi"/>
    <x v="0"/>
    <x v="1"/>
    <s v="Coffee"/>
    <n v="2"/>
    <n v="250"/>
    <x v="3"/>
    <n v="500"/>
  </r>
  <r>
    <x v="19"/>
    <s v="INV079"/>
    <s v="Kumar"/>
    <x v="0"/>
    <x v="2"/>
    <s v="Chips"/>
    <n v="2"/>
    <n v="40"/>
    <x v="1"/>
    <n v="80"/>
  </r>
  <r>
    <x v="4"/>
    <s v="INV080"/>
    <s v="Priya"/>
    <x v="4"/>
    <x v="3"/>
    <s v="Toothpaste"/>
    <n v="4"/>
    <n v="120"/>
    <x v="2"/>
    <n v="480"/>
  </r>
  <r>
    <x v="9"/>
    <s v="INV081"/>
    <s v="Arun"/>
    <x v="0"/>
    <x v="2"/>
    <s v="Namkeen"/>
    <n v="7"/>
    <n v="90"/>
    <x v="2"/>
    <n v="630"/>
  </r>
  <r>
    <x v="55"/>
    <s v="INV082"/>
    <s v="Lakshmi"/>
    <x v="4"/>
    <x v="3"/>
    <s v="Toothpaste"/>
    <n v="1"/>
    <n v="120"/>
    <x v="2"/>
    <n v="120"/>
  </r>
  <r>
    <x v="18"/>
    <s v="INV083"/>
    <s v="Suresh"/>
    <x v="3"/>
    <x v="0"/>
    <s v="Wheat"/>
    <n v="7"/>
    <n v="500"/>
    <x v="1"/>
    <n v="3500"/>
  </r>
  <r>
    <x v="56"/>
    <s v="INV084"/>
    <s v="Anitha"/>
    <x v="1"/>
    <x v="3"/>
    <s v="Shampoo"/>
    <n v="7"/>
    <n v="350"/>
    <x v="2"/>
    <n v="2450"/>
  </r>
  <r>
    <x v="57"/>
    <s v="INV085"/>
    <s v="Kumar"/>
    <x v="4"/>
    <x v="2"/>
    <s v="Namkeen"/>
    <n v="7"/>
    <n v="90"/>
    <x v="1"/>
    <n v="630"/>
  </r>
  <r>
    <x v="3"/>
    <s v="INV086"/>
    <s v="Arun"/>
    <x v="1"/>
    <x v="0"/>
    <s v="Wheat"/>
    <n v="10"/>
    <n v="500"/>
    <x v="2"/>
    <n v="5000"/>
  </r>
  <r>
    <x v="58"/>
    <s v="INV087"/>
    <s v="Ravi"/>
    <x v="4"/>
    <x v="1"/>
    <s v="Coffee"/>
    <n v="1"/>
    <n v="250"/>
    <x v="3"/>
    <n v="250"/>
  </r>
  <r>
    <x v="59"/>
    <s v="INV088"/>
    <s v="Suresh"/>
    <x v="2"/>
    <x v="1"/>
    <s v="Coffee"/>
    <n v="6"/>
    <n v="250"/>
    <x v="2"/>
    <n v="1500"/>
  </r>
  <r>
    <x v="21"/>
    <s v="INV089"/>
    <s v="Vijay"/>
    <x v="1"/>
    <x v="2"/>
    <s v="Biscuits"/>
    <n v="1"/>
    <n v="50"/>
    <x v="3"/>
    <n v="50"/>
  </r>
  <r>
    <x v="34"/>
    <s v="INV090"/>
    <s v="Arun"/>
    <x v="0"/>
    <x v="1"/>
    <s v="Soft Drink"/>
    <n v="1"/>
    <n v="80"/>
    <x v="1"/>
    <n v="80"/>
  </r>
  <r>
    <x v="4"/>
    <s v="INV091"/>
    <s v="Kumar"/>
    <x v="4"/>
    <x v="0"/>
    <s v="Cooking Oil"/>
    <n v="4"/>
    <n v="180"/>
    <x v="0"/>
    <n v="720"/>
  </r>
  <r>
    <x v="55"/>
    <s v="INV092"/>
    <s v="Divya"/>
    <x v="0"/>
    <x v="1"/>
    <s v="Coffee"/>
    <n v="5"/>
    <n v="250"/>
    <x v="0"/>
    <n v="1250"/>
  </r>
  <r>
    <x v="60"/>
    <s v="INV093"/>
    <s v="Arun"/>
    <x v="2"/>
    <x v="1"/>
    <s v="Coffee"/>
    <n v="10"/>
    <n v="250"/>
    <x v="2"/>
    <n v="2500"/>
  </r>
  <r>
    <x v="52"/>
    <s v="INV094"/>
    <s v="Lakshmi"/>
    <x v="0"/>
    <x v="3"/>
    <s v="Toothpaste"/>
    <n v="2"/>
    <n v="120"/>
    <x v="0"/>
    <n v="240"/>
  </r>
  <r>
    <x v="15"/>
    <s v="INV095"/>
    <s v="Lakshmi"/>
    <x v="1"/>
    <x v="2"/>
    <s v="Namkeen"/>
    <n v="2"/>
    <n v="90"/>
    <x v="3"/>
    <n v="180"/>
  </r>
  <r>
    <x v="38"/>
    <s v="INV096"/>
    <s v="Vijay"/>
    <x v="2"/>
    <x v="3"/>
    <s v="Toothpaste"/>
    <n v="2"/>
    <n v="120"/>
    <x v="0"/>
    <n v="240"/>
  </r>
  <r>
    <x v="60"/>
    <s v="INV097"/>
    <s v="Divya"/>
    <x v="4"/>
    <x v="3"/>
    <s v="Soap"/>
    <n v="7"/>
    <n v="60"/>
    <x v="1"/>
    <n v="420"/>
  </r>
  <r>
    <x v="61"/>
    <s v="INV098"/>
    <s v="Lakshmi"/>
    <x v="3"/>
    <x v="3"/>
    <s v="Shampoo"/>
    <n v="5"/>
    <n v="350"/>
    <x v="2"/>
    <n v="1750"/>
  </r>
  <r>
    <x v="3"/>
    <s v="INV099"/>
    <s v="Divya"/>
    <x v="0"/>
    <x v="3"/>
    <s v="Soap"/>
    <n v="5"/>
    <n v="60"/>
    <x v="0"/>
    <n v="300"/>
  </r>
  <r>
    <x v="35"/>
    <s v="INV100"/>
    <s v="Lakshmi"/>
    <x v="3"/>
    <x v="2"/>
    <s v="Chips"/>
    <n v="8"/>
    <n v="40"/>
    <x v="2"/>
    <n v="3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2-05T00:00:00"/>
    <s v="INV001"/>
    <s v="Meena"/>
    <s v="Mumbai"/>
    <s v="Grocery"/>
    <x v="0"/>
    <n v="4"/>
    <n v="850"/>
    <s v="UPI"/>
    <x v="0"/>
    <x v="0"/>
  </r>
  <r>
    <d v="2026-02-24T00:00:00"/>
    <s v="INV002"/>
    <s v="Arun"/>
    <s v="Chennai"/>
    <s v="Grocery"/>
    <x v="1"/>
    <n v="1"/>
    <n v="180"/>
    <s v="Card"/>
    <x v="1"/>
    <x v="0"/>
  </r>
  <r>
    <d v="2026-03-19T00:00:00"/>
    <s v="INV003"/>
    <s v="Vijay"/>
    <s v="Mumbai"/>
    <s v="Beverages"/>
    <x v="2"/>
    <n v="1"/>
    <n v="80"/>
    <s v="Net Banking"/>
    <x v="2"/>
    <x v="1"/>
  </r>
  <r>
    <d v="2026-03-17T00:00:00"/>
    <s v="INV004"/>
    <s v="Arun"/>
    <s v="Mumbai"/>
    <s v="Beverages"/>
    <x v="3"/>
    <n v="5"/>
    <n v="250"/>
    <s v="Net Banking"/>
    <x v="3"/>
    <x v="1"/>
  </r>
  <r>
    <d v="2026-01-20T00:00:00"/>
    <s v="INV005"/>
    <s v="Divya"/>
    <s v="Chennai"/>
    <s v="Snacks"/>
    <x v="4"/>
    <n v="4"/>
    <n v="40"/>
    <s v="UPI"/>
    <x v="4"/>
    <x v="2"/>
  </r>
  <r>
    <d v="2026-02-15T00:00:00"/>
    <s v="INV006"/>
    <s v="Lakshmi"/>
    <s v="Delhi"/>
    <s v="Personal Care"/>
    <x v="5"/>
    <n v="6"/>
    <n v="350"/>
    <s v="UPI"/>
    <x v="5"/>
    <x v="0"/>
  </r>
  <r>
    <d v="2026-01-16T00:00:00"/>
    <s v="INV007"/>
    <s v="Priya"/>
    <s v="Hyderabad"/>
    <s v="Personal Care"/>
    <x v="6"/>
    <n v="7"/>
    <n v="120"/>
    <s v="Cash"/>
    <x v="6"/>
    <x v="2"/>
  </r>
  <r>
    <d v="2026-01-25T00:00:00"/>
    <s v="INV008"/>
    <s v="Arun"/>
    <s v="Mumbai"/>
    <s v="Snacks"/>
    <x v="7"/>
    <n v="2"/>
    <n v="90"/>
    <s v="Cash"/>
    <x v="1"/>
    <x v="2"/>
  </r>
  <r>
    <d v="2026-01-13T00:00:00"/>
    <s v="INV009"/>
    <s v="Ravi"/>
    <s v="Bangalore"/>
    <s v="Grocery"/>
    <x v="0"/>
    <n v="7"/>
    <n v="850"/>
    <s v="Cash"/>
    <x v="7"/>
    <x v="2"/>
  </r>
  <r>
    <d v="2026-02-15T00:00:00"/>
    <s v="INV010"/>
    <s v="Ravi"/>
    <s v="Chennai"/>
    <s v="Beverages"/>
    <x v="3"/>
    <n v="4"/>
    <n v="250"/>
    <s v="Card"/>
    <x v="8"/>
    <x v="0"/>
  </r>
  <r>
    <d v="2026-03-01T00:00:00"/>
    <s v="INV011"/>
    <s v="Ravi"/>
    <s v="Hyderabad"/>
    <s v="Beverages"/>
    <x v="8"/>
    <n v="7"/>
    <n v="120"/>
    <s v="Card"/>
    <x v="6"/>
    <x v="1"/>
  </r>
  <r>
    <d v="2026-01-30T00:00:00"/>
    <s v="INV012"/>
    <s v="Divya"/>
    <s v="Bangalore"/>
    <s v="Snacks"/>
    <x v="9"/>
    <n v="1"/>
    <n v="50"/>
    <s v="Cash"/>
    <x v="9"/>
    <x v="2"/>
  </r>
  <r>
    <d v="2026-03-14T00:00:00"/>
    <s v="INV013"/>
    <s v="Meena"/>
    <s v="Bangalore"/>
    <s v="Grocery"/>
    <x v="0"/>
    <n v="6"/>
    <n v="850"/>
    <s v="Net Banking"/>
    <x v="10"/>
    <x v="1"/>
  </r>
  <r>
    <d v="2026-02-03T00:00:00"/>
    <s v="INV014"/>
    <s v="Meena"/>
    <s v="Hyderabad"/>
    <s v="Personal Care"/>
    <x v="5"/>
    <n v="3"/>
    <n v="350"/>
    <s v="Cash"/>
    <x v="11"/>
    <x v="0"/>
  </r>
  <r>
    <d v="2026-02-21T00:00:00"/>
    <s v="INV015"/>
    <s v="Meena"/>
    <s v="Mumbai"/>
    <s v="Personal Care"/>
    <x v="6"/>
    <n v="6"/>
    <n v="120"/>
    <s v="Net Banking"/>
    <x v="12"/>
    <x v="0"/>
  </r>
  <r>
    <d v="2026-01-15T00:00:00"/>
    <s v="INV016"/>
    <s v="Kumar"/>
    <s v="Bangalore"/>
    <s v="Grocery"/>
    <x v="0"/>
    <n v="3"/>
    <n v="850"/>
    <s v="UPI"/>
    <x v="13"/>
    <x v="2"/>
  </r>
  <r>
    <d v="2026-03-18T00:00:00"/>
    <s v="INV017"/>
    <s v="Vijay"/>
    <s v="Delhi"/>
    <s v="Personal Care"/>
    <x v="10"/>
    <n v="8"/>
    <n v="60"/>
    <s v="UPI"/>
    <x v="14"/>
    <x v="1"/>
  </r>
  <r>
    <d v="2026-03-10T00:00:00"/>
    <s v="INV018"/>
    <s v="Divya"/>
    <s v="Chennai"/>
    <s v="Grocery"/>
    <x v="1"/>
    <n v="5"/>
    <n v="180"/>
    <s v="Cash"/>
    <x v="15"/>
    <x v="1"/>
  </r>
  <r>
    <d v="2026-02-28T00:00:00"/>
    <s v="INV019"/>
    <s v="Ravi"/>
    <s v="Hyderabad"/>
    <s v="Personal Care"/>
    <x v="5"/>
    <n v="1"/>
    <n v="350"/>
    <s v="Card"/>
    <x v="16"/>
    <x v="0"/>
  </r>
  <r>
    <d v="2026-02-08T00:00:00"/>
    <s v="INV020"/>
    <s v="Lakshmi"/>
    <s v="Mumbai"/>
    <s v="Grocery"/>
    <x v="1"/>
    <n v="9"/>
    <n v="180"/>
    <s v="Card"/>
    <x v="17"/>
    <x v="0"/>
  </r>
  <r>
    <d v="2026-03-11T00:00:00"/>
    <s v="INV021"/>
    <s v="Arun"/>
    <s v="Hyderabad"/>
    <s v="Snacks"/>
    <x v="9"/>
    <n v="9"/>
    <n v="50"/>
    <s v="Cash"/>
    <x v="18"/>
    <x v="1"/>
  </r>
  <r>
    <d v="2026-01-15T00:00:00"/>
    <s v="INV022"/>
    <s v="Ravi"/>
    <s v="Mumbai"/>
    <s v="Personal Care"/>
    <x v="5"/>
    <n v="6"/>
    <n v="350"/>
    <s v="UPI"/>
    <x v="5"/>
    <x v="2"/>
  </r>
  <r>
    <d v="2026-01-11T00:00:00"/>
    <s v="INV023"/>
    <s v="Anitha"/>
    <s v="Chennai"/>
    <s v="Beverages"/>
    <x v="2"/>
    <n v="2"/>
    <n v="80"/>
    <s v="Card"/>
    <x v="4"/>
    <x v="2"/>
  </r>
  <r>
    <d v="2026-03-02T00:00:00"/>
    <s v="INV024"/>
    <s v="Kumar"/>
    <s v="Delhi"/>
    <s v="Beverages"/>
    <x v="2"/>
    <n v="9"/>
    <n v="80"/>
    <s v="Net Banking"/>
    <x v="12"/>
    <x v="1"/>
  </r>
  <r>
    <d v="2026-03-30T00:00:00"/>
    <s v="INV025"/>
    <s v="Ravi"/>
    <s v="Bangalore"/>
    <s v="Beverages"/>
    <x v="2"/>
    <n v="4"/>
    <n v="80"/>
    <s v="Cash"/>
    <x v="19"/>
    <x v="1"/>
  </r>
  <r>
    <d v="2026-02-27T00:00:00"/>
    <s v="INV026"/>
    <s v="Meena"/>
    <s v="Mumbai"/>
    <s v="Personal Care"/>
    <x v="6"/>
    <n v="2"/>
    <n v="120"/>
    <s v="UPI"/>
    <x v="20"/>
    <x v="0"/>
  </r>
  <r>
    <d v="2026-03-17T00:00:00"/>
    <s v="INV027"/>
    <s v="Meena"/>
    <s v="Hyderabad"/>
    <s v="Snacks"/>
    <x v="9"/>
    <n v="9"/>
    <n v="50"/>
    <s v="Card"/>
    <x v="18"/>
    <x v="1"/>
  </r>
  <r>
    <d v="2026-03-22T00:00:00"/>
    <s v="INV028"/>
    <s v="Meena"/>
    <s v="Chennai"/>
    <s v="Grocery"/>
    <x v="0"/>
    <n v="1"/>
    <n v="850"/>
    <s v="UPI"/>
    <x v="21"/>
    <x v="1"/>
  </r>
  <r>
    <d v="2026-03-07T00:00:00"/>
    <s v="INV029"/>
    <s v="Ravi"/>
    <s v="Bangalore"/>
    <s v="Snacks"/>
    <x v="9"/>
    <n v="4"/>
    <n v="50"/>
    <s v="Card"/>
    <x v="22"/>
    <x v="1"/>
  </r>
  <r>
    <d v="2026-03-15T00:00:00"/>
    <s v="INV030"/>
    <s v="Anitha"/>
    <s v="Mumbai"/>
    <s v="Beverages"/>
    <x v="2"/>
    <n v="10"/>
    <n v="80"/>
    <s v="Net Banking"/>
    <x v="23"/>
    <x v="1"/>
  </r>
  <r>
    <d v="2026-01-13T00:00:00"/>
    <s v="INV031"/>
    <s v="Suresh"/>
    <s v="Delhi"/>
    <s v="Personal Care"/>
    <x v="5"/>
    <n v="2"/>
    <n v="350"/>
    <s v="Net Banking"/>
    <x v="24"/>
    <x v="2"/>
  </r>
  <r>
    <d v="2026-01-07T00:00:00"/>
    <s v="INV032"/>
    <s v="Arun"/>
    <s v="Bangalore"/>
    <s v="Personal Care"/>
    <x v="10"/>
    <n v="2"/>
    <n v="60"/>
    <s v="Cash"/>
    <x v="25"/>
    <x v="2"/>
  </r>
  <r>
    <d v="2026-01-25T00:00:00"/>
    <s v="INV033"/>
    <s v="Vijay"/>
    <s v="Bangalore"/>
    <s v="Grocery"/>
    <x v="0"/>
    <n v="4"/>
    <n v="850"/>
    <s v="Card"/>
    <x v="0"/>
    <x v="2"/>
  </r>
  <r>
    <d v="2026-02-05T00:00:00"/>
    <s v="INV034"/>
    <s v="Meena"/>
    <s v="Chennai"/>
    <s v="Personal Care"/>
    <x v="5"/>
    <n v="8"/>
    <n v="350"/>
    <s v="Net Banking"/>
    <x v="26"/>
    <x v="0"/>
  </r>
  <r>
    <d v="2026-03-25T00:00:00"/>
    <s v="INV035"/>
    <s v="Arun"/>
    <s v="Chennai"/>
    <s v="Grocery"/>
    <x v="0"/>
    <n v="9"/>
    <n v="850"/>
    <s v="Card"/>
    <x v="27"/>
    <x v="1"/>
  </r>
  <r>
    <d v="2026-03-04T00:00:00"/>
    <s v="INV036"/>
    <s v="Meena"/>
    <s v="Bangalore"/>
    <s v="Beverages"/>
    <x v="3"/>
    <n v="8"/>
    <n v="250"/>
    <s v="UPI"/>
    <x v="28"/>
    <x v="1"/>
  </r>
  <r>
    <d v="2026-01-01T00:00:00"/>
    <s v="INV037"/>
    <s v="Ravi"/>
    <s v="Bangalore"/>
    <s v="Beverages"/>
    <x v="3"/>
    <n v="7"/>
    <n v="250"/>
    <s v="Cash"/>
    <x v="29"/>
    <x v="2"/>
  </r>
  <r>
    <d v="2026-03-13T00:00:00"/>
    <s v="INV038"/>
    <s v="Kumar"/>
    <s v="Mumbai"/>
    <s v="Personal Care"/>
    <x v="6"/>
    <n v="8"/>
    <n v="120"/>
    <s v="Cash"/>
    <x v="30"/>
    <x v="1"/>
  </r>
  <r>
    <d v="2026-03-16T00:00:00"/>
    <s v="INV039"/>
    <s v="Arun"/>
    <s v="Delhi"/>
    <s v="Beverages"/>
    <x v="8"/>
    <n v="9"/>
    <n v="120"/>
    <s v="UPI"/>
    <x v="31"/>
    <x v="1"/>
  </r>
  <r>
    <d v="2026-03-03T00:00:00"/>
    <s v="INV040"/>
    <s v="Vijay"/>
    <s v="Mumbai"/>
    <s v="Grocery"/>
    <x v="1"/>
    <n v="9"/>
    <n v="180"/>
    <s v="UPI"/>
    <x v="17"/>
    <x v="1"/>
  </r>
  <r>
    <d v="2026-01-09T00:00:00"/>
    <s v="INV041"/>
    <s v="Priya"/>
    <s v="Mumbai"/>
    <s v="Grocery"/>
    <x v="0"/>
    <n v="10"/>
    <n v="850"/>
    <s v="Net Banking"/>
    <x v="32"/>
    <x v="2"/>
  </r>
  <r>
    <d v="2026-02-01T00:00:00"/>
    <s v="INV042"/>
    <s v="Lakshmi"/>
    <s v="Chennai"/>
    <s v="Grocery"/>
    <x v="1"/>
    <n v="10"/>
    <n v="180"/>
    <s v="UPI"/>
    <x v="33"/>
    <x v="0"/>
  </r>
  <r>
    <d v="2026-03-16T00:00:00"/>
    <s v="INV043"/>
    <s v="Vijay"/>
    <s v="Delhi"/>
    <s v="Personal Care"/>
    <x v="6"/>
    <n v="10"/>
    <n v="120"/>
    <s v="Cash"/>
    <x v="34"/>
    <x v="1"/>
  </r>
  <r>
    <d v="2026-02-10T00:00:00"/>
    <s v="INV044"/>
    <s v="Ravi"/>
    <s v="Bangalore"/>
    <s v="Beverages"/>
    <x v="2"/>
    <n v="4"/>
    <n v="80"/>
    <s v="Card"/>
    <x v="19"/>
    <x v="0"/>
  </r>
  <r>
    <d v="2026-02-10T00:00:00"/>
    <s v="INV045"/>
    <s v="Arun"/>
    <s v="Bangalore"/>
    <s v="Snacks"/>
    <x v="4"/>
    <n v="2"/>
    <n v="40"/>
    <s v="UPI"/>
    <x v="2"/>
    <x v="0"/>
  </r>
  <r>
    <d v="2026-01-28T00:00:00"/>
    <s v="INV046"/>
    <s v="Ravi"/>
    <s v="Mumbai"/>
    <s v="Grocery"/>
    <x v="1"/>
    <n v="9"/>
    <n v="180"/>
    <s v="Cash"/>
    <x v="17"/>
    <x v="2"/>
  </r>
  <r>
    <d v="2026-02-17T00:00:00"/>
    <s v="INV047"/>
    <s v="Kumar"/>
    <s v="Bangalore"/>
    <s v="Grocery"/>
    <x v="0"/>
    <n v="5"/>
    <n v="850"/>
    <s v="Cash"/>
    <x v="35"/>
    <x v="0"/>
  </r>
  <r>
    <d v="2026-03-12T00:00:00"/>
    <s v="INV048"/>
    <s v="Priya"/>
    <s v="Mumbai"/>
    <s v="Grocery"/>
    <x v="1"/>
    <n v="5"/>
    <n v="180"/>
    <s v="Cash"/>
    <x v="15"/>
    <x v="1"/>
  </r>
  <r>
    <d v="2026-03-12T00:00:00"/>
    <s v="INV049"/>
    <s v="Ravi"/>
    <s v="Delhi"/>
    <s v="Grocery"/>
    <x v="0"/>
    <n v="3"/>
    <n v="850"/>
    <s v="Card"/>
    <x v="13"/>
    <x v="1"/>
  </r>
  <r>
    <d v="2026-03-29T00:00:00"/>
    <s v="INV050"/>
    <s v="Vijay"/>
    <s v="Bangalore"/>
    <s v="Snacks"/>
    <x v="9"/>
    <n v="5"/>
    <n v="50"/>
    <s v="Cash"/>
    <x v="36"/>
    <x v="1"/>
  </r>
  <r>
    <d v="2026-03-23T00:00:00"/>
    <s v="INV051"/>
    <s v="Ravi"/>
    <s v="Chennai"/>
    <s v="Grocery"/>
    <x v="0"/>
    <n v="7"/>
    <n v="850"/>
    <s v="UPI"/>
    <x v="7"/>
    <x v="1"/>
  </r>
  <r>
    <d v="2026-03-23T00:00:00"/>
    <s v="INV052"/>
    <s v="Kumar"/>
    <s v="Bangalore"/>
    <s v="Snacks"/>
    <x v="9"/>
    <n v="5"/>
    <n v="50"/>
    <s v="Net Banking"/>
    <x v="36"/>
    <x v="1"/>
  </r>
  <r>
    <d v="2026-01-10T00:00:00"/>
    <s v="INV053"/>
    <s v="Vijay"/>
    <s v="Chennai"/>
    <s v="Grocery"/>
    <x v="0"/>
    <n v="3"/>
    <n v="850"/>
    <s v="Cash"/>
    <x v="13"/>
    <x v="2"/>
  </r>
  <r>
    <d v="2026-01-17T00:00:00"/>
    <s v="INV054"/>
    <s v="Ravi"/>
    <s v="Delhi"/>
    <s v="Beverages"/>
    <x v="3"/>
    <n v="1"/>
    <n v="250"/>
    <s v="UPI"/>
    <x v="36"/>
    <x v="2"/>
  </r>
  <r>
    <d v="2026-03-29T00:00:00"/>
    <s v="INV055"/>
    <s v="Priya"/>
    <s v="Delhi"/>
    <s v="Snacks"/>
    <x v="9"/>
    <n v="4"/>
    <n v="50"/>
    <s v="Net Banking"/>
    <x v="22"/>
    <x v="1"/>
  </r>
  <r>
    <d v="2026-01-21T00:00:00"/>
    <s v="INV056"/>
    <s v="Suresh"/>
    <s v="Chennai"/>
    <s v="Beverages"/>
    <x v="8"/>
    <n v="3"/>
    <n v="120"/>
    <s v="Card"/>
    <x v="37"/>
    <x v="2"/>
  </r>
  <r>
    <d v="2026-03-27T00:00:00"/>
    <s v="INV057"/>
    <s v="Ravi"/>
    <s v="Mumbai"/>
    <s v="Snacks"/>
    <x v="4"/>
    <n v="4"/>
    <n v="40"/>
    <s v="UPI"/>
    <x v="4"/>
    <x v="1"/>
  </r>
  <r>
    <d v="2026-03-02T00:00:00"/>
    <s v="INV058"/>
    <s v="Meena"/>
    <s v="Bangalore"/>
    <s v="Personal Care"/>
    <x v="5"/>
    <n v="4"/>
    <n v="350"/>
    <s v="Cash"/>
    <x v="38"/>
    <x v="1"/>
  </r>
  <r>
    <d v="2026-01-29T00:00:00"/>
    <s v="INV059"/>
    <s v="Meena"/>
    <s v="Bangalore"/>
    <s v="Snacks"/>
    <x v="9"/>
    <n v="1"/>
    <n v="50"/>
    <s v="Cash"/>
    <x v="9"/>
    <x v="2"/>
  </r>
  <r>
    <d v="2026-02-05T00:00:00"/>
    <s v="INV060"/>
    <s v="Vijay"/>
    <s v="Bangalore"/>
    <s v="Snacks"/>
    <x v="9"/>
    <n v="6"/>
    <n v="50"/>
    <s v="Cash"/>
    <x v="39"/>
    <x v="0"/>
  </r>
  <r>
    <d v="2026-02-03T00:00:00"/>
    <s v="INV061"/>
    <s v="Lakshmi"/>
    <s v="Delhi"/>
    <s v="Grocery"/>
    <x v="0"/>
    <n v="3"/>
    <n v="850"/>
    <s v="UPI"/>
    <x v="13"/>
    <x v="0"/>
  </r>
  <r>
    <d v="2026-02-25T00:00:00"/>
    <s v="INV062"/>
    <s v="Divya"/>
    <s v="Bangalore"/>
    <s v="Grocery"/>
    <x v="1"/>
    <n v="6"/>
    <n v="180"/>
    <s v="UPI"/>
    <x v="31"/>
    <x v="0"/>
  </r>
  <r>
    <d v="2026-01-25T00:00:00"/>
    <s v="INV063"/>
    <s v="Arun"/>
    <s v="Bangalore"/>
    <s v="Personal Care"/>
    <x v="6"/>
    <n v="5"/>
    <n v="120"/>
    <s v="UPI"/>
    <x v="40"/>
    <x v="2"/>
  </r>
  <r>
    <d v="2026-02-25T00:00:00"/>
    <s v="INV064"/>
    <s v="Divya"/>
    <s v="Hyderabad"/>
    <s v="Beverages"/>
    <x v="3"/>
    <n v="2"/>
    <n v="250"/>
    <s v="Cash"/>
    <x v="41"/>
    <x v="0"/>
  </r>
  <r>
    <d v="2026-02-08T00:00:00"/>
    <s v="INV065"/>
    <s v="Ravi"/>
    <s v="Bangalore"/>
    <s v="Grocery"/>
    <x v="1"/>
    <n v="9"/>
    <n v="180"/>
    <s v="Cash"/>
    <x v="17"/>
    <x v="0"/>
  </r>
  <r>
    <d v="2026-02-07T00:00:00"/>
    <s v="INV066"/>
    <s v="Kumar"/>
    <s v="Mumbai"/>
    <s v="Personal Care"/>
    <x v="6"/>
    <n v="9"/>
    <n v="120"/>
    <s v="Net Banking"/>
    <x v="31"/>
    <x v="0"/>
  </r>
  <r>
    <d v="2026-01-23T00:00:00"/>
    <s v="INV067"/>
    <s v="Lakshmi"/>
    <s v="Delhi"/>
    <s v="Personal Care"/>
    <x v="6"/>
    <n v="10"/>
    <n v="120"/>
    <s v="Net Banking"/>
    <x v="34"/>
    <x v="2"/>
  </r>
  <r>
    <d v="2026-02-06T00:00:00"/>
    <s v="INV068"/>
    <s v="Suresh"/>
    <s v="Hyderabad"/>
    <s v="Grocery"/>
    <x v="11"/>
    <n v="4"/>
    <n v="500"/>
    <s v="Cash"/>
    <x v="28"/>
    <x v="0"/>
  </r>
  <r>
    <d v="2026-02-26T00:00:00"/>
    <s v="INV069"/>
    <s v="Vijay"/>
    <s v="Bangalore"/>
    <s v="Personal Care"/>
    <x v="10"/>
    <n v="4"/>
    <n v="60"/>
    <s v="Card"/>
    <x v="20"/>
    <x v="0"/>
  </r>
  <r>
    <d v="2026-03-07T00:00:00"/>
    <s v="INV070"/>
    <s v="Divya"/>
    <s v="Chennai"/>
    <s v="Grocery"/>
    <x v="11"/>
    <n v="10"/>
    <n v="500"/>
    <s v="Card"/>
    <x v="42"/>
    <x v="1"/>
  </r>
  <r>
    <d v="2026-01-26T00:00:00"/>
    <s v="INV071"/>
    <s v="Arun"/>
    <s v="Chennai"/>
    <s v="Snacks"/>
    <x v="9"/>
    <n v="3"/>
    <n v="50"/>
    <s v="Card"/>
    <x v="43"/>
    <x v="2"/>
  </r>
  <r>
    <d v="2026-01-10T00:00:00"/>
    <s v="INV072"/>
    <s v="Suresh"/>
    <s v="Hyderabad"/>
    <s v="Personal Care"/>
    <x v="6"/>
    <n v="8"/>
    <n v="120"/>
    <s v="Card"/>
    <x v="30"/>
    <x v="2"/>
  </r>
  <r>
    <d v="2026-02-21T00:00:00"/>
    <s v="INV073"/>
    <s v="Kumar"/>
    <s v="Chennai"/>
    <s v="Personal Care"/>
    <x v="10"/>
    <n v="4"/>
    <n v="60"/>
    <s v="UPI"/>
    <x v="20"/>
    <x v="0"/>
  </r>
  <r>
    <d v="2026-01-23T00:00:00"/>
    <s v="INV074"/>
    <s v="Anitha"/>
    <s v="Chennai"/>
    <s v="Personal Care"/>
    <x v="5"/>
    <n v="9"/>
    <n v="350"/>
    <s v="Card"/>
    <x v="44"/>
    <x v="2"/>
  </r>
  <r>
    <d v="2026-01-18T00:00:00"/>
    <s v="INV075"/>
    <s v="Vijay"/>
    <s v="Hyderabad"/>
    <s v="Grocery"/>
    <x v="11"/>
    <n v="8"/>
    <n v="500"/>
    <s v="Cash"/>
    <x v="45"/>
    <x v="2"/>
  </r>
  <r>
    <d v="2026-03-06T00:00:00"/>
    <s v="INV076"/>
    <s v="Vijay"/>
    <s v="Bangalore"/>
    <s v="Personal Care"/>
    <x v="6"/>
    <n v="7"/>
    <n v="120"/>
    <s v="Card"/>
    <x v="6"/>
    <x v="1"/>
  </r>
  <r>
    <d v="2026-02-03T00:00:00"/>
    <s v="INV077"/>
    <s v="Ravi"/>
    <s v="Hyderabad"/>
    <s v="Personal Care"/>
    <x v="10"/>
    <n v="4"/>
    <n v="60"/>
    <s v="Net Banking"/>
    <x v="20"/>
    <x v="0"/>
  </r>
  <r>
    <d v="2026-02-26T00:00:00"/>
    <s v="INV078"/>
    <s v="Ravi"/>
    <s v="Mumbai"/>
    <s v="Beverages"/>
    <x v="3"/>
    <n v="2"/>
    <n v="250"/>
    <s v="Cash"/>
    <x v="41"/>
    <x v="0"/>
  </r>
  <r>
    <d v="2026-03-11T00:00:00"/>
    <s v="INV079"/>
    <s v="Kumar"/>
    <s v="Mumbai"/>
    <s v="Snacks"/>
    <x v="4"/>
    <n v="2"/>
    <n v="40"/>
    <s v="Card"/>
    <x v="2"/>
    <x v="1"/>
  </r>
  <r>
    <d v="2026-01-20T00:00:00"/>
    <s v="INV080"/>
    <s v="Priya"/>
    <s v="Bangalore"/>
    <s v="Personal Care"/>
    <x v="6"/>
    <n v="4"/>
    <n v="120"/>
    <s v="Net Banking"/>
    <x v="14"/>
    <x v="2"/>
  </r>
  <r>
    <d v="2026-03-01T00:00:00"/>
    <s v="INV081"/>
    <s v="Arun"/>
    <s v="Mumbai"/>
    <s v="Snacks"/>
    <x v="7"/>
    <n v="7"/>
    <n v="90"/>
    <s v="Net Banking"/>
    <x v="46"/>
    <x v="1"/>
  </r>
  <r>
    <d v="2026-03-31T00:00:00"/>
    <s v="INV082"/>
    <s v="Lakshmi"/>
    <s v="Bangalore"/>
    <s v="Personal Care"/>
    <x v="6"/>
    <n v="1"/>
    <n v="120"/>
    <s v="Net Banking"/>
    <x v="25"/>
    <x v="1"/>
  </r>
  <r>
    <d v="2026-02-08T00:00:00"/>
    <s v="INV083"/>
    <s v="Suresh"/>
    <s v="Hyderabad"/>
    <s v="Grocery"/>
    <x v="11"/>
    <n v="7"/>
    <n v="500"/>
    <s v="Card"/>
    <x v="47"/>
    <x v="0"/>
  </r>
  <r>
    <d v="2026-02-04T00:00:00"/>
    <s v="INV084"/>
    <s v="Anitha"/>
    <s v="Chennai"/>
    <s v="Personal Care"/>
    <x v="5"/>
    <n v="7"/>
    <n v="350"/>
    <s v="Net Banking"/>
    <x v="48"/>
    <x v="0"/>
  </r>
  <r>
    <d v="2026-03-28T00:00:00"/>
    <s v="INV085"/>
    <s v="Kumar"/>
    <s v="Bangalore"/>
    <s v="Snacks"/>
    <x v="7"/>
    <n v="7"/>
    <n v="90"/>
    <s v="Card"/>
    <x v="46"/>
    <x v="1"/>
  </r>
  <r>
    <d v="2026-03-17T00:00:00"/>
    <s v="INV086"/>
    <s v="Arun"/>
    <s v="Chennai"/>
    <s v="Grocery"/>
    <x v="11"/>
    <n v="10"/>
    <n v="500"/>
    <s v="Net Banking"/>
    <x v="42"/>
    <x v="1"/>
  </r>
  <r>
    <d v="2026-01-24T00:00:00"/>
    <s v="INV087"/>
    <s v="Ravi"/>
    <s v="Bangalore"/>
    <s v="Beverages"/>
    <x v="3"/>
    <n v="1"/>
    <n v="250"/>
    <s v="Cash"/>
    <x v="36"/>
    <x v="2"/>
  </r>
  <r>
    <d v="2026-02-11T00:00:00"/>
    <s v="INV088"/>
    <s v="Suresh"/>
    <s v="Delhi"/>
    <s v="Beverages"/>
    <x v="3"/>
    <n v="6"/>
    <n v="250"/>
    <s v="Net Banking"/>
    <x v="49"/>
    <x v="0"/>
  </r>
  <r>
    <d v="2026-03-02T00:00:00"/>
    <s v="INV089"/>
    <s v="Vijay"/>
    <s v="Chennai"/>
    <s v="Snacks"/>
    <x v="9"/>
    <n v="1"/>
    <n v="50"/>
    <s v="Cash"/>
    <x v="9"/>
    <x v="1"/>
  </r>
  <r>
    <d v="2026-01-09T00:00:00"/>
    <s v="INV090"/>
    <s v="Arun"/>
    <s v="Mumbai"/>
    <s v="Beverages"/>
    <x v="2"/>
    <n v="1"/>
    <n v="80"/>
    <s v="Card"/>
    <x v="2"/>
    <x v="2"/>
  </r>
  <r>
    <d v="2026-01-20T00:00:00"/>
    <s v="INV091"/>
    <s v="Kumar"/>
    <s v="Bangalore"/>
    <s v="Grocery"/>
    <x v="1"/>
    <n v="4"/>
    <n v="180"/>
    <s v="UPI"/>
    <x v="12"/>
    <x v="2"/>
  </r>
  <r>
    <d v="2026-03-31T00:00:00"/>
    <s v="INV092"/>
    <s v="Divya"/>
    <s v="Mumbai"/>
    <s v="Beverages"/>
    <x v="3"/>
    <n v="5"/>
    <n v="250"/>
    <s v="UPI"/>
    <x v="3"/>
    <x v="1"/>
  </r>
  <r>
    <d v="2026-01-14T00:00:00"/>
    <s v="INV093"/>
    <s v="Arun"/>
    <s v="Delhi"/>
    <s v="Beverages"/>
    <x v="3"/>
    <n v="10"/>
    <n v="250"/>
    <s v="Net Banking"/>
    <x v="50"/>
    <x v="2"/>
  </r>
  <r>
    <d v="2026-01-26T00:00:00"/>
    <s v="INV094"/>
    <s v="Lakshmi"/>
    <s v="Mumbai"/>
    <s v="Personal Care"/>
    <x v="6"/>
    <n v="2"/>
    <n v="120"/>
    <s v="UPI"/>
    <x v="20"/>
    <x v="2"/>
  </r>
  <r>
    <d v="2026-03-18T00:00:00"/>
    <s v="INV095"/>
    <s v="Lakshmi"/>
    <s v="Chennai"/>
    <s v="Snacks"/>
    <x v="7"/>
    <n v="2"/>
    <n v="90"/>
    <s v="Cash"/>
    <x v="1"/>
    <x v="1"/>
  </r>
  <r>
    <d v="2026-02-17T00:00:00"/>
    <s v="INV096"/>
    <s v="Vijay"/>
    <s v="Delhi"/>
    <s v="Personal Care"/>
    <x v="6"/>
    <n v="2"/>
    <n v="120"/>
    <s v="UPI"/>
    <x v="20"/>
    <x v="0"/>
  </r>
  <r>
    <d v="2026-01-14T00:00:00"/>
    <s v="INV097"/>
    <s v="Divya"/>
    <s v="Bangalore"/>
    <s v="Personal Care"/>
    <x v="10"/>
    <n v="7"/>
    <n v="60"/>
    <s v="Card"/>
    <x v="51"/>
    <x v="2"/>
  </r>
  <r>
    <d v="2026-03-08T00:00:00"/>
    <s v="INV098"/>
    <s v="Lakshmi"/>
    <s v="Hyderabad"/>
    <s v="Personal Care"/>
    <x v="5"/>
    <n v="5"/>
    <n v="350"/>
    <s v="Net Banking"/>
    <x v="29"/>
    <x v="1"/>
  </r>
  <r>
    <d v="2026-03-17T00:00:00"/>
    <s v="INV099"/>
    <s v="Divya"/>
    <s v="Mumbai"/>
    <s v="Personal Care"/>
    <x v="10"/>
    <n v="5"/>
    <n v="60"/>
    <s v="UPI"/>
    <x v="39"/>
    <x v="1"/>
  </r>
  <r>
    <d v="2026-02-01T00:00:00"/>
    <s v="INV100"/>
    <s v="Lakshmi"/>
    <s v="Hyderabad"/>
    <s v="Snacks"/>
    <x v="4"/>
    <n v="8"/>
    <n v="40"/>
    <s v="Net Banking"/>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29074-7216-453A-BE9E-B0FE5F396955}"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0">
    <pivotField showAll="0"/>
    <pivotField showAll="0"/>
    <pivotField showAll="0"/>
    <pivotField showAll="0">
      <items count="6">
        <item x="4"/>
        <item x="1"/>
        <item x="2"/>
        <item x="3"/>
        <item x="0"/>
        <item t="default"/>
      </items>
    </pivotField>
    <pivotField axis="axisRow" showAll="0">
      <items count="5">
        <item x="1"/>
        <item x="0"/>
        <item x="3"/>
        <item x="2"/>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_Sales" fld="9" baseField="0" baseItem="0"/>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4455D-0B15-4E13-8CED-276DF71D24B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0">
    <pivotField showAll="0"/>
    <pivotField showAll="0"/>
    <pivotField showAll="0"/>
    <pivotField axis="axisRow" showAll="0">
      <items count="6">
        <item x="4"/>
        <item x="1"/>
        <item x="2"/>
        <item x="3"/>
        <item x="0"/>
        <item t="default"/>
      </items>
    </pivotField>
    <pivotField showAll="0">
      <items count="5">
        <item x="1"/>
        <item x="0"/>
        <item x="3"/>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98FF4-179D-4B64-933D-32776BAE7983}"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showAll="0"/>
    <pivotField showAll="0"/>
    <pivotField showAll="0"/>
    <pivotField showAll="0">
      <items count="6">
        <item x="4"/>
        <item x="1"/>
        <item x="2"/>
        <item x="3"/>
        <item x="0"/>
        <item t="default"/>
      </items>
    </pivotField>
    <pivotField showAll="0">
      <items count="5">
        <item x="1"/>
        <item x="0"/>
        <item x="3"/>
        <item x="2"/>
        <item t="default"/>
      </items>
    </pivotField>
    <pivotField showAll="0"/>
    <pivotField showAll="0"/>
    <pivotField showAll="0"/>
    <pivotField axis="axisRow" showAll="0">
      <items count="5">
        <item x="1"/>
        <item x="3"/>
        <item x="2"/>
        <item x="0"/>
        <item t="default"/>
      </items>
    </pivotField>
    <pivotField dataField="1" showAll="0"/>
  </pivotFields>
  <rowFields count="1">
    <field x="8"/>
  </rowFields>
  <rowItems count="5">
    <i>
      <x/>
    </i>
    <i>
      <x v="1"/>
    </i>
    <i>
      <x v="2"/>
    </i>
    <i>
      <x v="3"/>
    </i>
    <i t="grand">
      <x/>
    </i>
  </rowItems>
  <colItems count="1">
    <i/>
  </colItems>
  <dataFields count="1">
    <dataField name="Sum of Total_Sales" fld="9"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5B52E-A482-4C09-A351-2821C158C811}"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6" firstHeaderRow="1" firstDataRow="1" firstDataCol="1"/>
  <pivotFields count="10">
    <pivotField axis="axisRow" showAll="0">
      <items count="63">
        <item x="30"/>
        <item x="35"/>
        <item x="9"/>
        <item x="21"/>
        <item x="12"/>
        <item x="33"/>
        <item x="56"/>
        <item x="29"/>
        <item x="0"/>
        <item x="50"/>
        <item x="54"/>
        <item x="27"/>
        <item x="48"/>
        <item x="25"/>
        <item x="18"/>
        <item x="61"/>
        <item x="34"/>
        <item x="42"/>
        <item x="36"/>
        <item x="16"/>
        <item x="20"/>
        <item x="59"/>
        <item x="19"/>
        <item x="39"/>
        <item x="8"/>
        <item x="31"/>
        <item x="60"/>
        <item x="11"/>
        <item x="14"/>
        <item x="5"/>
        <item x="26"/>
        <item x="6"/>
        <item x="32"/>
        <item x="43"/>
        <item x="38"/>
        <item x="3"/>
        <item x="53"/>
        <item x="15"/>
        <item x="2"/>
        <item x="4"/>
        <item x="44"/>
        <item x="13"/>
        <item x="24"/>
        <item x="49"/>
        <item x="41"/>
        <item x="58"/>
        <item x="1"/>
        <item x="7"/>
        <item x="47"/>
        <item x="28"/>
        <item x="52"/>
        <item x="51"/>
        <item x="23"/>
        <item x="45"/>
        <item x="37"/>
        <item x="17"/>
        <item x="57"/>
        <item x="46"/>
        <item x="40"/>
        <item x="10"/>
        <item x="22"/>
        <item x="55"/>
        <item t="default"/>
      </items>
    </pivotField>
    <pivotField showAll="0"/>
    <pivotField showAll="0"/>
    <pivotField showAll="0">
      <items count="6">
        <item x="4"/>
        <item x="1"/>
        <item x="2"/>
        <item x="3"/>
        <item x="0"/>
        <item t="default"/>
      </items>
    </pivotField>
    <pivotField showAll="0">
      <items count="5">
        <item x="1"/>
        <item x="0"/>
        <item x="3"/>
        <item x="2"/>
        <item t="default"/>
      </items>
    </pivotField>
    <pivotField showAll="0"/>
    <pivotField showAll="0"/>
    <pivotField showAll="0"/>
    <pivotField showAll="0"/>
    <pivotField dataField="1" showAll="0"/>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81A0B-AD9B-400E-9CB0-5DF128E5481C}"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1">
    <pivotField numFmtId="14" showAll="0"/>
    <pivotField showAll="0"/>
    <pivotField showAll="0"/>
    <pivotField showAll="0"/>
    <pivotField showAll="0"/>
    <pivotField showAll="0">
      <items count="13">
        <item x="9"/>
        <item x="4"/>
        <item x="3"/>
        <item x="1"/>
        <item x="8"/>
        <item x="7"/>
        <item x="0"/>
        <item x="5"/>
        <item x="10"/>
        <item x="2"/>
        <item x="6"/>
        <item x="11"/>
        <item t="default"/>
      </items>
    </pivotField>
    <pivotField showAll="0"/>
    <pivotField showAll="0"/>
    <pivotField showAll="0"/>
    <pivotField dataField="1"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Sum of Total_Sales" fld="9"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1CBC39-3FF1-40D6-A209-B4747B213899}"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7" firstHeaderRow="1" firstDataRow="1" firstDataCol="1"/>
  <pivotFields count="11">
    <pivotField numFmtId="14" showAll="0"/>
    <pivotField showAll="0"/>
    <pivotField showAll="0"/>
    <pivotField showAll="0"/>
    <pivotField showAll="0"/>
    <pivotField axis="axisRow" showAll="0">
      <items count="13">
        <item x="9"/>
        <item x="4"/>
        <item x="3"/>
        <item x="1"/>
        <item x="8"/>
        <item x="7"/>
        <item x="0"/>
        <item x="5"/>
        <item x="10"/>
        <item x="2"/>
        <item x="6"/>
        <item x="11"/>
        <item t="default"/>
      </items>
    </pivotField>
    <pivotField showAll="0"/>
    <pivotField showAll="0"/>
    <pivotField showAll="0"/>
    <pivotField dataField="1"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Total_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43CD85-B662-459C-9322-B3B739AE0656}" sourceName="City">
  <pivotTables>
    <pivotTable tabId="4" name="PivotTable2"/>
    <pivotTable tabId="2" name="PivotTable1"/>
    <pivotTable tabId="5" name="PivotTable3"/>
    <pivotTable tabId="6" name="PivotTable4"/>
  </pivotTables>
  <data>
    <tabular pivotCacheId="1063635789">
      <items count="5">
        <i x="4" s="1"/>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404DB2-56FA-401F-847C-06F21A4FED3B}" sourceName="Category">
  <pivotTables>
    <pivotTable tabId="2" name="PivotTable1"/>
    <pivotTable tabId="4" name="PivotTable2"/>
    <pivotTable tabId="5" name="PivotTable3"/>
    <pivotTable tabId="6" name="PivotTable4"/>
  </pivotTables>
  <data>
    <tabular pivotCacheId="106363578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1845659-68A9-423D-94F0-2C1E12E936AD}" sourceName="Product">
  <pivotTables>
    <pivotTable tabId="8" name="PivotTable7"/>
    <pivotTable tabId="7" name="PivotTable5"/>
  </pivotTables>
  <data>
    <tabular pivotCacheId="1318723109">
      <items count="12">
        <i x="9" s="1"/>
        <i x="4" s="1"/>
        <i x="3" s="1"/>
        <i x="1" s="1"/>
        <i x="8" s="1"/>
        <i x="7" s="1"/>
        <i x="0" s="1"/>
        <i x="5" s="1"/>
        <i x="10" s="1"/>
        <i x="2" s="1"/>
        <i x="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D6F1189-688C-4A31-9B31-337DD079742C}" cache="Slicer_City" caption="City" rowHeight="234950"/>
  <slicer name="Category" xr10:uid="{1D6ACADB-7004-4577-A91F-21CB4F0ED297}" cache="Slicer_Category" caption="Category" rowHeight="234950"/>
  <slicer name="Product" xr10:uid="{E027D70B-783B-465E-AB01-FAFBB668BF41}" cache="Slicer_Product" caption="Product" startItem="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1F36-9787-44B7-AA19-986865ED85DC}">
  <sheetPr>
    <tabColor rgb="FFC00000"/>
  </sheetPr>
  <dimension ref="A3:B8"/>
  <sheetViews>
    <sheetView workbookViewId="0">
      <selection activeCell="A28" sqref="A28"/>
    </sheetView>
  </sheetViews>
  <sheetFormatPr defaultRowHeight="14.4" x14ac:dyDescent="0.3"/>
  <cols>
    <col min="1" max="1" width="12.5546875" bestFit="1" customWidth="1"/>
    <col min="2" max="2" width="17" bestFit="1" customWidth="1"/>
  </cols>
  <sheetData>
    <row r="3" spans="1:2" x14ac:dyDescent="0.3">
      <c r="A3" s="3" t="s">
        <v>207</v>
      </c>
      <c r="B3" t="s">
        <v>209</v>
      </c>
    </row>
    <row r="4" spans="1:2" x14ac:dyDescent="0.3">
      <c r="A4" s="4" t="s">
        <v>188</v>
      </c>
      <c r="B4" s="5">
        <v>17510</v>
      </c>
    </row>
    <row r="5" spans="1:2" x14ac:dyDescent="0.3">
      <c r="A5" s="4" t="s">
        <v>187</v>
      </c>
      <c r="B5" s="5">
        <v>86810</v>
      </c>
    </row>
    <row r="6" spans="1:2" x14ac:dyDescent="0.3">
      <c r="A6" s="4" t="s">
        <v>190</v>
      </c>
      <c r="B6" s="5">
        <v>29610</v>
      </c>
    </row>
    <row r="7" spans="1:2" x14ac:dyDescent="0.3">
      <c r="A7" s="4" t="s">
        <v>189</v>
      </c>
      <c r="B7" s="5">
        <v>4820</v>
      </c>
    </row>
    <row r="8" spans="1:2" x14ac:dyDescent="0.3">
      <c r="A8" s="4" t="s">
        <v>208</v>
      </c>
      <c r="B8" s="5">
        <v>138750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7ACE-9C85-4375-87CE-9AE34543ED54}">
  <sheetPr>
    <tabColor theme="5" tint="0.39997558519241921"/>
  </sheetPr>
  <dimension ref="C1:T15"/>
  <sheetViews>
    <sheetView showGridLines="0" tabSelected="1" topLeftCell="A18" zoomScale="76" zoomScaleNormal="76" workbookViewId="0">
      <selection activeCell="E4" sqref="E4:G5"/>
    </sheetView>
  </sheetViews>
  <sheetFormatPr defaultRowHeight="14.4" x14ac:dyDescent="0.3"/>
  <cols>
    <col min="3" max="3" width="20.44140625" bestFit="1" customWidth="1"/>
  </cols>
  <sheetData>
    <row r="1" spans="3:20" ht="31.2" customHeight="1" x14ac:dyDescent="0.5">
      <c r="D1" s="12" t="s">
        <v>218</v>
      </c>
      <c r="E1" s="13"/>
      <c r="F1" s="13"/>
      <c r="G1" s="13"/>
      <c r="H1" s="13"/>
      <c r="I1" s="13"/>
      <c r="J1" s="13"/>
      <c r="K1" s="13"/>
      <c r="L1" s="13"/>
      <c r="M1" s="13"/>
      <c r="N1" s="14"/>
      <c r="O1" s="11"/>
      <c r="P1" s="11"/>
    </row>
    <row r="2" spans="3:20" ht="31.2" customHeight="1" x14ac:dyDescent="0.3">
      <c r="D2" s="15"/>
      <c r="E2" s="16"/>
      <c r="F2" s="16"/>
      <c r="G2" s="16"/>
      <c r="H2" s="16"/>
      <c r="I2" s="16"/>
      <c r="J2" s="16"/>
      <c r="K2" s="16"/>
      <c r="L2" s="16"/>
      <c r="M2" s="16"/>
      <c r="N2" s="17"/>
    </row>
    <row r="3" spans="3:20" x14ac:dyDescent="0.3">
      <c r="I3" s="8"/>
      <c r="M3" s="10"/>
      <c r="N3" s="8"/>
      <c r="O3" s="8"/>
      <c r="Q3" s="8"/>
      <c r="R3" s="8"/>
    </row>
    <row r="4" spans="3:20" ht="25.8" x14ac:dyDescent="0.55000000000000004">
      <c r="C4" s="18" t="s">
        <v>215</v>
      </c>
      <c r="D4" s="8"/>
      <c r="E4" s="20" t="s">
        <v>216</v>
      </c>
      <c r="F4" s="21"/>
      <c r="G4" s="22"/>
      <c r="I4" s="24" t="s">
        <v>219</v>
      </c>
      <c r="J4" s="21"/>
      <c r="K4" s="25"/>
      <c r="L4" s="22"/>
      <c r="N4" s="20" t="s">
        <v>217</v>
      </c>
      <c r="O4" s="21"/>
      <c r="P4" s="30"/>
      <c r="R4" s="24"/>
      <c r="S4" s="31" t="s">
        <v>220</v>
      </c>
      <c r="T4" s="32"/>
    </row>
    <row r="5" spans="3:20" ht="23.4" x14ac:dyDescent="0.45">
      <c r="C5" s="19">
        <f>SUM(Data!J2:J101)</f>
        <v>138750</v>
      </c>
      <c r="D5" s="8"/>
      <c r="E5" s="20">
        <f>SUM(Data!G2:G101)</f>
        <v>524</v>
      </c>
      <c r="F5" s="23"/>
      <c r="G5" s="22"/>
      <c r="I5" s="26">
        <f>COUNTA(Data!C2:C101)</f>
        <v>100</v>
      </c>
      <c r="J5" s="27"/>
      <c r="K5" s="28"/>
      <c r="L5" s="29"/>
      <c r="N5" s="20" t="s">
        <v>191</v>
      </c>
      <c r="O5" s="23"/>
      <c r="P5" s="30"/>
      <c r="R5" s="33"/>
      <c r="S5" s="34" t="s">
        <v>183</v>
      </c>
      <c r="T5" s="35"/>
    </row>
    <row r="6" spans="3:20" x14ac:dyDescent="0.3">
      <c r="I6" s="8"/>
      <c r="L6" s="8"/>
      <c r="N6" s="8"/>
      <c r="Q6" s="8"/>
    </row>
    <row r="8" spans="3:20" x14ac:dyDescent="0.3">
      <c r="G8" t="s">
        <v>211</v>
      </c>
    </row>
    <row r="11" spans="3:20" x14ac:dyDescent="0.3">
      <c r="G11" s="9"/>
      <c r="K11" s="8"/>
    </row>
    <row r="15" spans="3:20" x14ac:dyDescent="0.3">
      <c r="G15" s="8"/>
    </row>
  </sheetData>
  <mergeCells count="1">
    <mergeCell ref="D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4E41-B193-4E94-BE82-2AF58583480F}">
  <sheetPr>
    <tabColor theme="0" tint="-0.34998626667073579"/>
  </sheetPr>
  <dimension ref="A3:B9"/>
  <sheetViews>
    <sheetView workbookViewId="0">
      <selection activeCell="A4" sqref="A4"/>
    </sheetView>
  </sheetViews>
  <sheetFormatPr defaultRowHeight="14.4" x14ac:dyDescent="0.3"/>
  <cols>
    <col min="1" max="1" width="12.5546875" bestFit="1" customWidth="1"/>
    <col min="2" max="2" width="17" bestFit="1" customWidth="1"/>
  </cols>
  <sheetData>
    <row r="3" spans="1:2" x14ac:dyDescent="0.3">
      <c r="A3" s="3" t="s">
        <v>207</v>
      </c>
      <c r="B3" t="s">
        <v>209</v>
      </c>
    </row>
    <row r="4" spans="1:2" x14ac:dyDescent="0.3">
      <c r="A4" s="4" t="s">
        <v>186</v>
      </c>
      <c r="B4" s="5">
        <v>35340</v>
      </c>
    </row>
    <row r="5" spans="1:2" x14ac:dyDescent="0.3">
      <c r="A5" s="4" t="s">
        <v>183</v>
      </c>
      <c r="B5" s="5">
        <v>40580</v>
      </c>
    </row>
    <row r="6" spans="1:2" x14ac:dyDescent="0.3">
      <c r="A6" s="4" t="s">
        <v>184</v>
      </c>
      <c r="B6" s="5">
        <v>17270</v>
      </c>
    </row>
    <row r="7" spans="1:2" x14ac:dyDescent="0.3">
      <c r="A7" s="4" t="s">
        <v>185</v>
      </c>
      <c r="B7" s="5">
        <v>17250</v>
      </c>
    </row>
    <row r="8" spans="1:2" x14ac:dyDescent="0.3">
      <c r="A8" s="4" t="s">
        <v>182</v>
      </c>
      <c r="B8" s="5">
        <v>28310</v>
      </c>
    </row>
    <row r="9" spans="1:2" x14ac:dyDescent="0.3">
      <c r="A9" s="4" t="s">
        <v>208</v>
      </c>
      <c r="B9" s="5">
        <v>138750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9B321-9981-4F4A-B366-12C6FAEF5A49}">
  <sheetPr>
    <tabColor theme="5" tint="0.39997558519241921"/>
  </sheetPr>
  <dimension ref="A3:B8"/>
  <sheetViews>
    <sheetView workbookViewId="0">
      <selection activeCell="D4" sqref="D4"/>
    </sheetView>
  </sheetViews>
  <sheetFormatPr defaultRowHeight="14.4" x14ac:dyDescent="0.3"/>
  <cols>
    <col min="1" max="1" width="12.5546875" bestFit="1" customWidth="1"/>
    <col min="2" max="2" width="17" bestFit="1" customWidth="1"/>
  </cols>
  <sheetData>
    <row r="3" spans="1:2" x14ac:dyDescent="0.3">
      <c r="A3" s="3" t="s">
        <v>207</v>
      </c>
      <c r="B3" t="s">
        <v>209</v>
      </c>
    </row>
    <row r="4" spans="1:2" x14ac:dyDescent="0.3">
      <c r="A4" s="4" t="s">
        <v>204</v>
      </c>
      <c r="B4" s="5">
        <v>34130</v>
      </c>
    </row>
    <row r="5" spans="1:2" x14ac:dyDescent="0.3">
      <c r="A5" s="4" t="s">
        <v>206</v>
      </c>
      <c r="B5" s="5">
        <v>34190</v>
      </c>
    </row>
    <row r="6" spans="1:2" x14ac:dyDescent="0.3">
      <c r="A6" s="4" t="s">
        <v>205</v>
      </c>
      <c r="B6" s="5">
        <v>38390</v>
      </c>
    </row>
    <row r="7" spans="1:2" x14ac:dyDescent="0.3">
      <c r="A7" s="4" t="s">
        <v>203</v>
      </c>
      <c r="B7" s="5">
        <v>32040</v>
      </c>
    </row>
    <row r="8" spans="1:2" x14ac:dyDescent="0.3">
      <c r="A8" s="4" t="s">
        <v>208</v>
      </c>
      <c r="B8" s="5">
        <v>138750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4BBC-97E3-4A79-A215-F5A90079F981}">
  <sheetPr>
    <tabColor theme="3" tint="0.39997558519241921"/>
  </sheetPr>
  <dimension ref="A3:B66"/>
  <sheetViews>
    <sheetView workbookViewId="0">
      <selection activeCell="A7" sqref="A7"/>
    </sheetView>
  </sheetViews>
  <sheetFormatPr defaultRowHeight="14.4" x14ac:dyDescent="0.3"/>
  <cols>
    <col min="1" max="1" width="12.5546875" bestFit="1" customWidth="1"/>
    <col min="2" max="2" width="17" bestFit="1" customWidth="1"/>
  </cols>
  <sheetData>
    <row r="3" spans="1:2" x14ac:dyDescent="0.3">
      <c r="A3" s="3" t="s">
        <v>207</v>
      </c>
      <c r="B3" t="s">
        <v>209</v>
      </c>
    </row>
    <row r="4" spans="1:2" x14ac:dyDescent="0.3">
      <c r="A4" s="4" t="s">
        <v>40</v>
      </c>
      <c r="B4" s="5">
        <v>1750</v>
      </c>
    </row>
    <row r="5" spans="1:2" x14ac:dyDescent="0.3">
      <c r="A5" s="4" t="s">
        <v>45</v>
      </c>
      <c r="B5" s="5">
        <v>2120</v>
      </c>
    </row>
    <row r="6" spans="1:2" x14ac:dyDescent="0.3">
      <c r="A6" s="4" t="s">
        <v>19</v>
      </c>
      <c r="B6" s="5">
        <v>1470</v>
      </c>
    </row>
    <row r="7" spans="1:2" x14ac:dyDescent="0.3">
      <c r="A7" s="4" t="s">
        <v>31</v>
      </c>
      <c r="B7" s="5">
        <v>2170</v>
      </c>
    </row>
    <row r="8" spans="1:2" x14ac:dyDescent="0.3">
      <c r="A8" s="4" t="s">
        <v>22</v>
      </c>
      <c r="B8" s="5">
        <v>3840</v>
      </c>
    </row>
    <row r="9" spans="1:2" x14ac:dyDescent="0.3">
      <c r="A9" s="4" t="s">
        <v>43</v>
      </c>
      <c r="B9" s="5">
        <v>1620</v>
      </c>
    </row>
    <row r="10" spans="1:2" x14ac:dyDescent="0.3">
      <c r="A10" s="4" t="s">
        <v>66</v>
      </c>
      <c r="B10" s="5">
        <v>2450</v>
      </c>
    </row>
    <row r="11" spans="1:2" x14ac:dyDescent="0.3">
      <c r="A11" s="4" t="s">
        <v>39</v>
      </c>
      <c r="B11" s="5">
        <v>2000</v>
      </c>
    </row>
    <row r="12" spans="1:2" x14ac:dyDescent="0.3">
      <c r="A12" s="4" t="s">
        <v>10</v>
      </c>
      <c r="B12" s="5">
        <v>6500</v>
      </c>
    </row>
    <row r="13" spans="1:2" x14ac:dyDescent="0.3">
      <c r="A13" s="4" t="s">
        <v>60</v>
      </c>
      <c r="B13" s="5">
        <v>2000</v>
      </c>
    </row>
    <row r="14" spans="1:2" x14ac:dyDescent="0.3">
      <c r="A14" s="4" t="s">
        <v>64</v>
      </c>
      <c r="B14" s="5">
        <v>840</v>
      </c>
    </row>
    <row r="15" spans="1:2" x14ac:dyDescent="0.3">
      <c r="A15" s="4" t="s">
        <v>37</v>
      </c>
      <c r="B15" s="5">
        <v>120</v>
      </c>
    </row>
    <row r="16" spans="1:2" x14ac:dyDescent="0.3">
      <c r="A16" s="4" t="s">
        <v>58</v>
      </c>
      <c r="B16" s="5">
        <v>1080</v>
      </c>
    </row>
    <row r="17" spans="1:2" x14ac:dyDescent="0.3">
      <c r="A17" s="4" t="s">
        <v>35</v>
      </c>
      <c r="B17" s="5">
        <v>5200</v>
      </c>
    </row>
    <row r="18" spans="1:2" x14ac:dyDescent="0.3">
      <c r="A18" s="4" t="s">
        <v>28</v>
      </c>
      <c r="B18" s="5">
        <v>6740</v>
      </c>
    </row>
    <row r="19" spans="1:2" x14ac:dyDescent="0.3">
      <c r="A19" s="4" t="s">
        <v>71</v>
      </c>
      <c r="B19" s="5">
        <v>1750</v>
      </c>
    </row>
    <row r="20" spans="1:2" x14ac:dyDescent="0.3">
      <c r="A20" s="4" t="s">
        <v>44</v>
      </c>
      <c r="B20" s="5">
        <v>8580</v>
      </c>
    </row>
    <row r="21" spans="1:2" x14ac:dyDescent="0.3">
      <c r="A21" s="4" t="s">
        <v>52</v>
      </c>
      <c r="B21" s="5">
        <v>3510</v>
      </c>
    </row>
    <row r="22" spans="1:2" x14ac:dyDescent="0.3">
      <c r="A22" s="4" t="s">
        <v>46</v>
      </c>
      <c r="B22" s="5">
        <v>400</v>
      </c>
    </row>
    <row r="23" spans="1:2" x14ac:dyDescent="0.3">
      <c r="A23" s="4" t="s">
        <v>26</v>
      </c>
      <c r="B23" s="5">
        <v>900</v>
      </c>
    </row>
    <row r="24" spans="1:2" x14ac:dyDescent="0.3">
      <c r="A24" s="4" t="s">
        <v>30</v>
      </c>
      <c r="B24" s="5">
        <v>160</v>
      </c>
    </row>
    <row r="25" spans="1:2" x14ac:dyDescent="0.3">
      <c r="A25" s="4" t="s">
        <v>69</v>
      </c>
      <c r="B25" s="5">
        <v>1500</v>
      </c>
    </row>
    <row r="26" spans="1:2" x14ac:dyDescent="0.3">
      <c r="A26" s="4" t="s">
        <v>29</v>
      </c>
      <c r="B26" s="5">
        <v>530</v>
      </c>
    </row>
    <row r="27" spans="1:2" x14ac:dyDescent="0.3">
      <c r="A27" s="4" t="s">
        <v>49</v>
      </c>
      <c r="B27" s="5">
        <v>3450</v>
      </c>
    </row>
    <row r="28" spans="1:2" x14ac:dyDescent="0.3">
      <c r="A28" s="4" t="s">
        <v>18</v>
      </c>
      <c r="B28" s="5">
        <v>6650</v>
      </c>
    </row>
    <row r="29" spans="1:2" x14ac:dyDescent="0.3">
      <c r="A29" s="4" t="s">
        <v>41</v>
      </c>
      <c r="B29" s="5">
        <v>960</v>
      </c>
    </row>
    <row r="30" spans="1:2" x14ac:dyDescent="0.3">
      <c r="A30" s="4" t="s">
        <v>70</v>
      </c>
      <c r="B30" s="5">
        <v>2920</v>
      </c>
    </row>
    <row r="31" spans="1:2" x14ac:dyDescent="0.3">
      <c r="A31" s="4" t="s">
        <v>21</v>
      </c>
      <c r="B31" s="5">
        <v>5100</v>
      </c>
    </row>
    <row r="32" spans="1:2" x14ac:dyDescent="0.3">
      <c r="A32" s="4" t="s">
        <v>24</v>
      </c>
      <c r="B32" s="5">
        <v>4650</v>
      </c>
    </row>
    <row r="33" spans="1:2" x14ac:dyDescent="0.3">
      <c r="A33" s="4" t="s">
        <v>15</v>
      </c>
      <c r="B33" s="5">
        <v>3100</v>
      </c>
    </row>
    <row r="34" spans="1:2" x14ac:dyDescent="0.3">
      <c r="A34" s="4" t="s">
        <v>36</v>
      </c>
      <c r="B34" s="5">
        <v>800</v>
      </c>
    </row>
    <row r="35" spans="1:2" x14ac:dyDescent="0.3">
      <c r="A35" s="4" t="s">
        <v>16</v>
      </c>
      <c r="B35" s="5">
        <v>840</v>
      </c>
    </row>
    <row r="36" spans="1:2" x14ac:dyDescent="0.3">
      <c r="A36" s="4" t="s">
        <v>42</v>
      </c>
      <c r="B36" s="5">
        <v>2280</v>
      </c>
    </row>
    <row r="37" spans="1:2" x14ac:dyDescent="0.3">
      <c r="A37" s="4" t="s">
        <v>53</v>
      </c>
      <c r="B37" s="5">
        <v>250</v>
      </c>
    </row>
    <row r="38" spans="1:2" x14ac:dyDescent="0.3">
      <c r="A38" s="4" t="s">
        <v>48</v>
      </c>
      <c r="B38" s="5">
        <v>4490</v>
      </c>
    </row>
    <row r="39" spans="1:2" x14ac:dyDescent="0.3">
      <c r="A39" s="4" t="s">
        <v>13</v>
      </c>
      <c r="B39" s="5">
        <v>7000</v>
      </c>
    </row>
    <row r="40" spans="1:2" x14ac:dyDescent="0.3">
      <c r="A40" s="4" t="s">
        <v>63</v>
      </c>
      <c r="B40" s="5">
        <v>4000</v>
      </c>
    </row>
    <row r="41" spans="1:2" x14ac:dyDescent="0.3">
      <c r="A41" s="4" t="s">
        <v>25</v>
      </c>
      <c r="B41" s="5">
        <v>660</v>
      </c>
    </row>
    <row r="42" spans="1:2" x14ac:dyDescent="0.3">
      <c r="A42" s="4" t="s">
        <v>12</v>
      </c>
      <c r="B42" s="5">
        <v>80</v>
      </c>
    </row>
    <row r="43" spans="1:2" x14ac:dyDescent="0.3">
      <c r="A43" s="4" t="s">
        <v>14</v>
      </c>
      <c r="B43" s="5">
        <v>1360</v>
      </c>
    </row>
    <row r="44" spans="1:2" x14ac:dyDescent="0.3">
      <c r="A44" s="4" t="s">
        <v>54</v>
      </c>
      <c r="B44" s="5">
        <v>360</v>
      </c>
    </row>
    <row r="45" spans="1:2" x14ac:dyDescent="0.3">
      <c r="A45" s="4" t="s">
        <v>23</v>
      </c>
      <c r="B45" s="5">
        <v>960</v>
      </c>
    </row>
    <row r="46" spans="1:2" x14ac:dyDescent="0.3">
      <c r="A46" s="4" t="s">
        <v>34</v>
      </c>
      <c r="B46" s="5">
        <v>850</v>
      </c>
    </row>
    <row r="47" spans="1:2" x14ac:dyDescent="0.3">
      <c r="A47" s="4" t="s">
        <v>59</v>
      </c>
      <c r="B47" s="5">
        <v>4350</v>
      </c>
    </row>
    <row r="48" spans="1:2" x14ac:dyDescent="0.3">
      <c r="A48" s="4" t="s">
        <v>51</v>
      </c>
      <c r="B48" s="5">
        <v>6200</v>
      </c>
    </row>
    <row r="49" spans="1:2" x14ac:dyDescent="0.3">
      <c r="A49" s="4" t="s">
        <v>68</v>
      </c>
      <c r="B49" s="5">
        <v>250</v>
      </c>
    </row>
    <row r="50" spans="1:2" x14ac:dyDescent="0.3">
      <c r="A50" s="4" t="s">
        <v>11</v>
      </c>
      <c r="B50" s="5">
        <v>180</v>
      </c>
    </row>
    <row r="51" spans="1:2" x14ac:dyDescent="0.3">
      <c r="A51" s="4" t="s">
        <v>17</v>
      </c>
      <c r="B51" s="5">
        <v>4180</v>
      </c>
    </row>
    <row r="52" spans="1:2" x14ac:dyDescent="0.3">
      <c r="A52" s="4" t="s">
        <v>57</v>
      </c>
      <c r="B52" s="5">
        <v>1580</v>
      </c>
    </row>
    <row r="53" spans="1:2" x14ac:dyDescent="0.3">
      <c r="A53" s="4" t="s">
        <v>38</v>
      </c>
      <c r="B53" s="5">
        <v>7650</v>
      </c>
    </row>
    <row r="54" spans="1:2" x14ac:dyDescent="0.3">
      <c r="A54" s="4" t="s">
        <v>62</v>
      </c>
      <c r="B54" s="5">
        <v>390</v>
      </c>
    </row>
    <row r="55" spans="1:2" x14ac:dyDescent="0.3">
      <c r="A55" s="4" t="s">
        <v>61</v>
      </c>
      <c r="B55" s="5">
        <v>740</v>
      </c>
    </row>
    <row r="56" spans="1:2" x14ac:dyDescent="0.3">
      <c r="A56" s="4" t="s">
        <v>33</v>
      </c>
      <c r="B56" s="5">
        <v>240</v>
      </c>
    </row>
    <row r="57" spans="1:2" x14ac:dyDescent="0.3">
      <c r="A57" s="4" t="s">
        <v>55</v>
      </c>
      <c r="B57" s="5">
        <v>160</v>
      </c>
    </row>
    <row r="58" spans="1:2" x14ac:dyDescent="0.3">
      <c r="A58" s="4" t="s">
        <v>47</v>
      </c>
      <c r="B58" s="5">
        <v>1620</v>
      </c>
    </row>
    <row r="59" spans="1:2" x14ac:dyDescent="0.3">
      <c r="A59" s="4" t="s">
        <v>27</v>
      </c>
      <c r="B59" s="5">
        <v>350</v>
      </c>
    </row>
    <row r="60" spans="1:2" x14ac:dyDescent="0.3">
      <c r="A60" s="4" t="s">
        <v>67</v>
      </c>
      <c r="B60" s="5">
        <v>630</v>
      </c>
    </row>
    <row r="61" spans="1:2" x14ac:dyDescent="0.3">
      <c r="A61" s="4" t="s">
        <v>56</v>
      </c>
      <c r="B61" s="5">
        <v>50</v>
      </c>
    </row>
    <row r="62" spans="1:2" x14ac:dyDescent="0.3">
      <c r="A62" s="4" t="s">
        <v>50</v>
      </c>
      <c r="B62" s="5">
        <v>450</v>
      </c>
    </row>
    <row r="63" spans="1:2" x14ac:dyDescent="0.3">
      <c r="A63" s="4" t="s">
        <v>20</v>
      </c>
      <c r="B63" s="5">
        <v>50</v>
      </c>
    </row>
    <row r="64" spans="1:2" x14ac:dyDescent="0.3">
      <c r="A64" s="4" t="s">
        <v>32</v>
      </c>
      <c r="B64" s="5">
        <v>320</v>
      </c>
    </row>
    <row r="65" spans="1:2" x14ac:dyDescent="0.3">
      <c r="A65" s="4" t="s">
        <v>65</v>
      </c>
      <c r="B65" s="5">
        <v>1370</v>
      </c>
    </row>
    <row r="66" spans="1:2" x14ac:dyDescent="0.3">
      <c r="A66" s="4" t="s">
        <v>208</v>
      </c>
      <c r="B66" s="5">
        <v>138750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EB08-4CD6-41C0-B5F7-81D1C94F7849}">
  <sheetPr>
    <tabColor theme="0" tint="-0.249977111117893"/>
  </sheetPr>
  <dimension ref="A3:B7"/>
  <sheetViews>
    <sheetView workbookViewId="0">
      <selection activeCell="A28" sqref="A28"/>
    </sheetView>
  </sheetViews>
  <sheetFormatPr defaultRowHeight="14.4" x14ac:dyDescent="0.3"/>
  <cols>
    <col min="1" max="1" width="12.5546875" bestFit="1" customWidth="1"/>
    <col min="2" max="2" width="17" bestFit="1" customWidth="1"/>
  </cols>
  <sheetData>
    <row r="3" spans="1:2" x14ac:dyDescent="0.3">
      <c r="A3" s="3" t="s">
        <v>207</v>
      </c>
      <c r="B3" t="s">
        <v>209</v>
      </c>
    </row>
    <row r="4" spans="1:2" x14ac:dyDescent="0.3">
      <c r="A4" s="4" t="s">
        <v>212</v>
      </c>
      <c r="B4" s="5">
        <v>46040</v>
      </c>
    </row>
    <row r="5" spans="1:2" x14ac:dyDescent="0.3">
      <c r="A5" s="4" t="s">
        <v>213</v>
      </c>
      <c r="B5" s="5">
        <v>38270</v>
      </c>
    </row>
    <row r="6" spans="1:2" x14ac:dyDescent="0.3">
      <c r="A6" s="4" t="s">
        <v>214</v>
      </c>
      <c r="B6" s="5">
        <v>54440</v>
      </c>
    </row>
    <row r="7" spans="1:2" x14ac:dyDescent="0.3">
      <c r="A7" s="4" t="s">
        <v>208</v>
      </c>
      <c r="B7" s="5">
        <v>138750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703F-A362-4038-BB64-CE076F183ECC}">
  <sheetPr>
    <tabColor rgb="FFFFFF00"/>
  </sheetPr>
  <dimension ref="A4:B17"/>
  <sheetViews>
    <sheetView topLeftCell="A16" workbookViewId="0">
      <selection activeCell="B10" sqref="B10"/>
    </sheetView>
  </sheetViews>
  <sheetFormatPr defaultRowHeight="14.4" x14ac:dyDescent="0.3"/>
  <cols>
    <col min="1" max="1" width="12.5546875" bestFit="1" customWidth="1"/>
    <col min="2" max="2" width="17" bestFit="1" customWidth="1"/>
  </cols>
  <sheetData>
    <row r="4" spans="1:2" x14ac:dyDescent="0.3">
      <c r="A4" s="3" t="s">
        <v>207</v>
      </c>
      <c r="B4" t="s">
        <v>209</v>
      </c>
    </row>
    <row r="5" spans="1:2" x14ac:dyDescent="0.3">
      <c r="A5" s="4" t="s">
        <v>200</v>
      </c>
      <c r="B5" s="5">
        <v>2400</v>
      </c>
    </row>
    <row r="6" spans="1:2" x14ac:dyDescent="0.3">
      <c r="A6" s="4" t="s">
        <v>195</v>
      </c>
      <c r="B6" s="5">
        <v>800</v>
      </c>
    </row>
    <row r="7" spans="1:2" x14ac:dyDescent="0.3">
      <c r="A7" s="4" t="s">
        <v>194</v>
      </c>
      <c r="B7" s="5">
        <v>12750</v>
      </c>
    </row>
    <row r="8" spans="1:2" x14ac:dyDescent="0.3">
      <c r="A8" s="4" t="s">
        <v>192</v>
      </c>
      <c r="B8" s="5">
        <v>12060</v>
      </c>
    </row>
    <row r="9" spans="1:2" x14ac:dyDescent="0.3">
      <c r="A9" s="4" t="s">
        <v>199</v>
      </c>
      <c r="B9" s="5">
        <v>2280</v>
      </c>
    </row>
    <row r="10" spans="1:2" x14ac:dyDescent="0.3">
      <c r="A10" s="4" t="s">
        <v>198</v>
      </c>
      <c r="B10" s="5">
        <v>1620</v>
      </c>
    </row>
    <row r="11" spans="1:2" x14ac:dyDescent="0.3">
      <c r="A11" s="4" t="s">
        <v>191</v>
      </c>
      <c r="B11" s="5">
        <v>55250</v>
      </c>
    </row>
    <row r="12" spans="1:2" x14ac:dyDescent="0.3">
      <c r="A12" s="4" t="s">
        <v>196</v>
      </c>
      <c r="B12" s="5">
        <v>17850</v>
      </c>
    </row>
    <row r="13" spans="1:2" x14ac:dyDescent="0.3">
      <c r="A13" s="4" t="s">
        <v>201</v>
      </c>
      <c r="B13" s="5">
        <v>2040</v>
      </c>
    </row>
    <row r="14" spans="1:2" x14ac:dyDescent="0.3">
      <c r="A14" s="4" t="s">
        <v>193</v>
      </c>
      <c r="B14" s="5">
        <v>2480</v>
      </c>
    </row>
    <row r="15" spans="1:2" x14ac:dyDescent="0.3">
      <c r="A15" s="4" t="s">
        <v>197</v>
      </c>
      <c r="B15" s="5">
        <v>9720</v>
      </c>
    </row>
    <row r="16" spans="1:2" x14ac:dyDescent="0.3">
      <c r="A16" s="4" t="s">
        <v>202</v>
      </c>
      <c r="B16" s="5">
        <v>19500</v>
      </c>
    </row>
    <row r="17" spans="1:2" x14ac:dyDescent="0.3">
      <c r="A17" s="4" t="s">
        <v>208</v>
      </c>
      <c r="B17" s="5">
        <v>138750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499984740745262"/>
  </sheetPr>
  <dimension ref="A1:K101"/>
  <sheetViews>
    <sheetView workbookViewId="0">
      <selection activeCell="A2" sqref="A1:K101"/>
    </sheetView>
  </sheetViews>
  <sheetFormatPr defaultRowHeight="14.4" x14ac:dyDescent="0.3"/>
  <cols>
    <col min="1" max="1" width="10.33203125" bestFit="1" customWidth="1"/>
    <col min="2" max="2" width="9.88671875" bestFit="1" customWidth="1"/>
    <col min="3" max="3" width="9.109375" bestFit="1" customWidth="1"/>
    <col min="4" max="4" width="9.77734375" bestFit="1" customWidth="1"/>
    <col min="5" max="5" width="12.21875" bestFit="1" customWidth="1"/>
    <col min="6" max="6" width="10.33203125" bestFit="1" customWidth="1"/>
    <col min="7" max="7" width="8.33203125" bestFit="1" customWidth="1"/>
    <col min="8" max="8" width="9.6640625" bestFit="1" customWidth="1"/>
    <col min="9" max="9" width="14.6640625" bestFit="1" customWidth="1"/>
    <col min="10" max="10" width="10.44140625" bestFit="1" customWidth="1"/>
  </cols>
  <sheetData>
    <row r="1" spans="1:11" x14ac:dyDescent="0.3">
      <c r="A1" s="2" t="s">
        <v>0</v>
      </c>
      <c r="B1" s="2" t="s">
        <v>1</v>
      </c>
      <c r="C1" s="2" t="s">
        <v>2</v>
      </c>
      <c r="D1" s="2" t="s">
        <v>3</v>
      </c>
      <c r="E1" s="2" t="s">
        <v>4</v>
      </c>
      <c r="F1" s="2" t="s">
        <v>5</v>
      </c>
      <c r="G1" s="2" t="s">
        <v>6</v>
      </c>
      <c r="H1" s="2" t="s">
        <v>7</v>
      </c>
      <c r="I1" s="2" t="s">
        <v>8</v>
      </c>
      <c r="J1" s="2" t="s">
        <v>9</v>
      </c>
      <c r="K1" s="7" t="s">
        <v>210</v>
      </c>
    </row>
    <row r="2" spans="1:11" x14ac:dyDescent="0.3">
      <c r="A2" s="6">
        <v>46058</v>
      </c>
      <c r="B2" s="1" t="s">
        <v>72</v>
      </c>
      <c r="C2" s="1" t="s">
        <v>172</v>
      </c>
      <c r="D2" s="1" t="s">
        <v>182</v>
      </c>
      <c r="E2" s="1" t="s">
        <v>187</v>
      </c>
      <c r="F2" s="1" t="s">
        <v>191</v>
      </c>
      <c r="G2" s="1">
        <v>4</v>
      </c>
      <c r="H2" s="1">
        <v>850</v>
      </c>
      <c r="I2" s="1" t="s">
        <v>203</v>
      </c>
      <c r="J2" s="1">
        <v>3400</v>
      </c>
      <c r="K2" s="1" t="str">
        <f>TEXT(A2,"mmmm")</f>
        <v>February</v>
      </c>
    </row>
    <row r="3" spans="1:11" x14ac:dyDescent="0.3">
      <c r="A3" s="6">
        <v>46077</v>
      </c>
      <c r="B3" s="1" t="s">
        <v>73</v>
      </c>
      <c r="C3" s="1" t="s">
        <v>173</v>
      </c>
      <c r="D3" s="1" t="s">
        <v>183</v>
      </c>
      <c r="E3" s="1" t="s">
        <v>187</v>
      </c>
      <c r="F3" s="1" t="s">
        <v>192</v>
      </c>
      <c r="G3" s="1">
        <v>1</v>
      </c>
      <c r="H3" s="1">
        <v>180</v>
      </c>
      <c r="I3" s="1" t="s">
        <v>204</v>
      </c>
      <c r="J3" s="1">
        <v>180</v>
      </c>
      <c r="K3" s="1" t="str">
        <f t="shared" ref="K3:K66" si="0">TEXT(A3,"mmmm")</f>
        <v>February</v>
      </c>
    </row>
    <row r="4" spans="1:11" x14ac:dyDescent="0.3">
      <c r="A4" s="6">
        <v>46100</v>
      </c>
      <c r="B4" s="1" t="s">
        <v>74</v>
      </c>
      <c r="C4" s="1" t="s">
        <v>174</v>
      </c>
      <c r="D4" s="1" t="s">
        <v>182</v>
      </c>
      <c r="E4" s="1" t="s">
        <v>188</v>
      </c>
      <c r="F4" s="1" t="s">
        <v>193</v>
      </c>
      <c r="G4" s="1">
        <v>1</v>
      </c>
      <c r="H4" s="1">
        <v>80</v>
      </c>
      <c r="I4" s="1" t="s">
        <v>205</v>
      </c>
      <c r="J4" s="1">
        <v>80</v>
      </c>
      <c r="K4" s="1" t="str">
        <f t="shared" si="0"/>
        <v>March</v>
      </c>
    </row>
    <row r="5" spans="1:11" x14ac:dyDescent="0.3">
      <c r="A5" s="6">
        <v>46098</v>
      </c>
      <c r="B5" s="1" t="s">
        <v>75</v>
      </c>
      <c r="C5" s="1" t="s">
        <v>173</v>
      </c>
      <c r="D5" s="1" t="s">
        <v>182</v>
      </c>
      <c r="E5" s="1" t="s">
        <v>188</v>
      </c>
      <c r="F5" s="1" t="s">
        <v>194</v>
      </c>
      <c r="G5" s="1">
        <v>5</v>
      </c>
      <c r="H5" s="1">
        <v>250</v>
      </c>
      <c r="I5" s="1" t="s">
        <v>205</v>
      </c>
      <c r="J5" s="1">
        <v>1250</v>
      </c>
      <c r="K5" s="1" t="str">
        <f t="shared" si="0"/>
        <v>March</v>
      </c>
    </row>
    <row r="6" spans="1:11" x14ac:dyDescent="0.3">
      <c r="A6" s="6">
        <v>46042</v>
      </c>
      <c r="B6" s="1" t="s">
        <v>76</v>
      </c>
      <c r="C6" s="1" t="s">
        <v>175</v>
      </c>
      <c r="D6" s="1" t="s">
        <v>183</v>
      </c>
      <c r="E6" s="1" t="s">
        <v>189</v>
      </c>
      <c r="F6" s="1" t="s">
        <v>195</v>
      </c>
      <c r="G6" s="1">
        <v>4</v>
      </c>
      <c r="H6" s="1">
        <v>40</v>
      </c>
      <c r="I6" s="1" t="s">
        <v>203</v>
      </c>
      <c r="J6" s="1">
        <v>160</v>
      </c>
      <c r="K6" s="1" t="str">
        <f t="shared" si="0"/>
        <v>January</v>
      </c>
    </row>
    <row r="7" spans="1:11" x14ac:dyDescent="0.3">
      <c r="A7" s="6">
        <v>46068</v>
      </c>
      <c r="B7" s="1" t="s">
        <v>77</v>
      </c>
      <c r="C7" s="1" t="s">
        <v>176</v>
      </c>
      <c r="D7" s="1" t="s">
        <v>184</v>
      </c>
      <c r="E7" s="1" t="s">
        <v>190</v>
      </c>
      <c r="F7" s="1" t="s">
        <v>196</v>
      </c>
      <c r="G7" s="1">
        <v>6</v>
      </c>
      <c r="H7" s="1">
        <v>350</v>
      </c>
      <c r="I7" s="1" t="s">
        <v>203</v>
      </c>
      <c r="J7" s="1">
        <v>2100</v>
      </c>
      <c r="K7" s="1" t="str">
        <f t="shared" si="0"/>
        <v>February</v>
      </c>
    </row>
    <row r="8" spans="1:11" x14ac:dyDescent="0.3">
      <c r="A8" s="6">
        <v>46038</v>
      </c>
      <c r="B8" s="1" t="s">
        <v>78</v>
      </c>
      <c r="C8" s="1" t="s">
        <v>177</v>
      </c>
      <c r="D8" s="1" t="s">
        <v>185</v>
      </c>
      <c r="E8" s="1" t="s">
        <v>190</v>
      </c>
      <c r="F8" s="1" t="s">
        <v>197</v>
      </c>
      <c r="G8" s="1">
        <v>7</v>
      </c>
      <c r="H8" s="1">
        <v>120</v>
      </c>
      <c r="I8" s="1" t="s">
        <v>206</v>
      </c>
      <c r="J8" s="1">
        <v>840</v>
      </c>
      <c r="K8" s="1" t="str">
        <f t="shared" si="0"/>
        <v>January</v>
      </c>
    </row>
    <row r="9" spans="1:11" x14ac:dyDescent="0.3">
      <c r="A9" s="6">
        <v>46047</v>
      </c>
      <c r="B9" s="1" t="s">
        <v>79</v>
      </c>
      <c r="C9" s="1" t="s">
        <v>173</v>
      </c>
      <c r="D9" s="1" t="s">
        <v>182</v>
      </c>
      <c r="E9" s="1" t="s">
        <v>189</v>
      </c>
      <c r="F9" s="1" t="s">
        <v>198</v>
      </c>
      <c r="G9" s="1">
        <v>2</v>
      </c>
      <c r="H9" s="1">
        <v>90</v>
      </c>
      <c r="I9" s="1" t="s">
        <v>206</v>
      </c>
      <c r="J9" s="1">
        <v>180</v>
      </c>
      <c r="K9" s="1" t="str">
        <f t="shared" si="0"/>
        <v>January</v>
      </c>
    </row>
    <row r="10" spans="1:11" x14ac:dyDescent="0.3">
      <c r="A10" s="6">
        <v>46035</v>
      </c>
      <c r="B10" s="1" t="s">
        <v>80</v>
      </c>
      <c r="C10" s="1" t="s">
        <v>178</v>
      </c>
      <c r="D10" s="1" t="s">
        <v>186</v>
      </c>
      <c r="E10" s="1" t="s">
        <v>187</v>
      </c>
      <c r="F10" s="1" t="s">
        <v>191</v>
      </c>
      <c r="G10" s="1">
        <v>7</v>
      </c>
      <c r="H10" s="1">
        <v>850</v>
      </c>
      <c r="I10" s="1" t="s">
        <v>206</v>
      </c>
      <c r="J10" s="1">
        <v>5950</v>
      </c>
      <c r="K10" s="1" t="str">
        <f t="shared" si="0"/>
        <v>January</v>
      </c>
    </row>
    <row r="11" spans="1:11" x14ac:dyDescent="0.3">
      <c r="A11" s="6">
        <v>46068</v>
      </c>
      <c r="B11" s="1" t="s">
        <v>81</v>
      </c>
      <c r="C11" s="1" t="s">
        <v>178</v>
      </c>
      <c r="D11" s="1" t="s">
        <v>183</v>
      </c>
      <c r="E11" s="1" t="s">
        <v>188</v>
      </c>
      <c r="F11" s="1" t="s">
        <v>194</v>
      </c>
      <c r="G11" s="1">
        <v>4</v>
      </c>
      <c r="H11" s="1">
        <v>250</v>
      </c>
      <c r="I11" s="1" t="s">
        <v>204</v>
      </c>
      <c r="J11" s="1">
        <v>1000</v>
      </c>
      <c r="K11" s="1" t="str">
        <f t="shared" si="0"/>
        <v>February</v>
      </c>
    </row>
    <row r="12" spans="1:11" x14ac:dyDescent="0.3">
      <c r="A12" s="6">
        <v>46082</v>
      </c>
      <c r="B12" s="1" t="s">
        <v>82</v>
      </c>
      <c r="C12" s="1" t="s">
        <v>178</v>
      </c>
      <c r="D12" s="1" t="s">
        <v>185</v>
      </c>
      <c r="E12" s="1" t="s">
        <v>188</v>
      </c>
      <c r="F12" s="1" t="s">
        <v>199</v>
      </c>
      <c r="G12" s="1">
        <v>7</v>
      </c>
      <c r="H12" s="1">
        <v>120</v>
      </c>
      <c r="I12" s="1" t="s">
        <v>204</v>
      </c>
      <c r="J12" s="1">
        <v>840</v>
      </c>
      <c r="K12" s="1" t="str">
        <f t="shared" si="0"/>
        <v>March</v>
      </c>
    </row>
    <row r="13" spans="1:11" x14ac:dyDescent="0.3">
      <c r="A13" s="6">
        <v>46052</v>
      </c>
      <c r="B13" s="1" t="s">
        <v>83</v>
      </c>
      <c r="C13" s="1" t="s">
        <v>175</v>
      </c>
      <c r="D13" s="1" t="s">
        <v>186</v>
      </c>
      <c r="E13" s="1" t="s">
        <v>189</v>
      </c>
      <c r="F13" s="1" t="s">
        <v>200</v>
      </c>
      <c r="G13" s="1">
        <v>1</v>
      </c>
      <c r="H13" s="1">
        <v>50</v>
      </c>
      <c r="I13" s="1" t="s">
        <v>206</v>
      </c>
      <c r="J13" s="1">
        <v>50</v>
      </c>
      <c r="K13" s="1" t="str">
        <f t="shared" si="0"/>
        <v>January</v>
      </c>
    </row>
    <row r="14" spans="1:11" x14ac:dyDescent="0.3">
      <c r="A14" s="6">
        <v>46095</v>
      </c>
      <c r="B14" s="1" t="s">
        <v>84</v>
      </c>
      <c r="C14" s="1" t="s">
        <v>172</v>
      </c>
      <c r="D14" s="1" t="s">
        <v>186</v>
      </c>
      <c r="E14" s="1" t="s">
        <v>187</v>
      </c>
      <c r="F14" s="1" t="s">
        <v>191</v>
      </c>
      <c r="G14" s="1">
        <v>6</v>
      </c>
      <c r="H14" s="1">
        <v>850</v>
      </c>
      <c r="I14" s="1" t="s">
        <v>205</v>
      </c>
      <c r="J14" s="1">
        <v>5100</v>
      </c>
      <c r="K14" s="1" t="str">
        <f t="shared" si="0"/>
        <v>March</v>
      </c>
    </row>
    <row r="15" spans="1:11" x14ac:dyDescent="0.3">
      <c r="A15" s="6">
        <v>46056</v>
      </c>
      <c r="B15" s="1" t="s">
        <v>85</v>
      </c>
      <c r="C15" s="1" t="s">
        <v>172</v>
      </c>
      <c r="D15" s="1" t="s">
        <v>185</v>
      </c>
      <c r="E15" s="1" t="s">
        <v>190</v>
      </c>
      <c r="F15" s="1" t="s">
        <v>196</v>
      </c>
      <c r="G15" s="1">
        <v>3</v>
      </c>
      <c r="H15" s="1">
        <v>350</v>
      </c>
      <c r="I15" s="1" t="s">
        <v>206</v>
      </c>
      <c r="J15" s="1">
        <v>1050</v>
      </c>
      <c r="K15" s="1" t="str">
        <f t="shared" si="0"/>
        <v>February</v>
      </c>
    </row>
    <row r="16" spans="1:11" x14ac:dyDescent="0.3">
      <c r="A16" s="6">
        <v>46074</v>
      </c>
      <c r="B16" s="1" t="s">
        <v>86</v>
      </c>
      <c r="C16" s="1" t="s">
        <v>172</v>
      </c>
      <c r="D16" s="1" t="s">
        <v>182</v>
      </c>
      <c r="E16" s="1" t="s">
        <v>190</v>
      </c>
      <c r="F16" s="1" t="s">
        <v>197</v>
      </c>
      <c r="G16" s="1">
        <v>6</v>
      </c>
      <c r="H16" s="1">
        <v>120</v>
      </c>
      <c r="I16" s="1" t="s">
        <v>205</v>
      </c>
      <c r="J16" s="1">
        <v>720</v>
      </c>
      <c r="K16" s="1" t="str">
        <f t="shared" si="0"/>
        <v>February</v>
      </c>
    </row>
    <row r="17" spans="1:11" x14ac:dyDescent="0.3">
      <c r="A17" s="6">
        <v>46037</v>
      </c>
      <c r="B17" s="1" t="s">
        <v>87</v>
      </c>
      <c r="C17" s="1" t="s">
        <v>179</v>
      </c>
      <c r="D17" s="1" t="s">
        <v>186</v>
      </c>
      <c r="E17" s="1" t="s">
        <v>187</v>
      </c>
      <c r="F17" s="1" t="s">
        <v>191</v>
      </c>
      <c r="G17" s="1">
        <v>3</v>
      </c>
      <c r="H17" s="1">
        <v>850</v>
      </c>
      <c r="I17" s="1" t="s">
        <v>203</v>
      </c>
      <c r="J17" s="1">
        <v>2550</v>
      </c>
      <c r="K17" s="1" t="str">
        <f t="shared" si="0"/>
        <v>January</v>
      </c>
    </row>
    <row r="18" spans="1:11" x14ac:dyDescent="0.3">
      <c r="A18" s="6">
        <v>46099</v>
      </c>
      <c r="B18" s="1" t="s">
        <v>88</v>
      </c>
      <c r="C18" s="1" t="s">
        <v>174</v>
      </c>
      <c r="D18" s="1" t="s">
        <v>184</v>
      </c>
      <c r="E18" s="1" t="s">
        <v>190</v>
      </c>
      <c r="F18" s="1" t="s">
        <v>201</v>
      </c>
      <c r="G18" s="1">
        <v>8</v>
      </c>
      <c r="H18" s="1">
        <v>60</v>
      </c>
      <c r="I18" s="1" t="s">
        <v>203</v>
      </c>
      <c r="J18" s="1">
        <v>480</v>
      </c>
      <c r="K18" s="1" t="str">
        <f t="shared" si="0"/>
        <v>March</v>
      </c>
    </row>
    <row r="19" spans="1:11" x14ac:dyDescent="0.3">
      <c r="A19" s="6">
        <v>46091</v>
      </c>
      <c r="B19" s="1" t="s">
        <v>89</v>
      </c>
      <c r="C19" s="1" t="s">
        <v>175</v>
      </c>
      <c r="D19" s="1" t="s">
        <v>183</v>
      </c>
      <c r="E19" s="1" t="s">
        <v>187</v>
      </c>
      <c r="F19" s="1" t="s">
        <v>192</v>
      </c>
      <c r="G19" s="1">
        <v>5</v>
      </c>
      <c r="H19" s="1">
        <v>180</v>
      </c>
      <c r="I19" s="1" t="s">
        <v>206</v>
      </c>
      <c r="J19" s="1">
        <v>900</v>
      </c>
      <c r="K19" s="1" t="str">
        <f t="shared" si="0"/>
        <v>March</v>
      </c>
    </row>
    <row r="20" spans="1:11" x14ac:dyDescent="0.3">
      <c r="A20" s="6">
        <v>46081</v>
      </c>
      <c r="B20" s="1" t="s">
        <v>90</v>
      </c>
      <c r="C20" s="1" t="s">
        <v>178</v>
      </c>
      <c r="D20" s="1" t="s">
        <v>185</v>
      </c>
      <c r="E20" s="1" t="s">
        <v>190</v>
      </c>
      <c r="F20" s="1" t="s">
        <v>196</v>
      </c>
      <c r="G20" s="1">
        <v>1</v>
      </c>
      <c r="H20" s="1">
        <v>350</v>
      </c>
      <c r="I20" s="1" t="s">
        <v>204</v>
      </c>
      <c r="J20" s="1">
        <v>350</v>
      </c>
      <c r="K20" s="1" t="str">
        <f t="shared" si="0"/>
        <v>February</v>
      </c>
    </row>
    <row r="21" spans="1:11" x14ac:dyDescent="0.3">
      <c r="A21" s="6">
        <v>46061</v>
      </c>
      <c r="B21" s="1" t="s">
        <v>91</v>
      </c>
      <c r="C21" s="1" t="s">
        <v>176</v>
      </c>
      <c r="D21" s="1" t="s">
        <v>182</v>
      </c>
      <c r="E21" s="1" t="s">
        <v>187</v>
      </c>
      <c r="F21" s="1" t="s">
        <v>192</v>
      </c>
      <c r="G21" s="1">
        <v>9</v>
      </c>
      <c r="H21" s="1">
        <v>180</v>
      </c>
      <c r="I21" s="1" t="s">
        <v>204</v>
      </c>
      <c r="J21" s="1">
        <v>1620</v>
      </c>
      <c r="K21" s="1" t="str">
        <f t="shared" si="0"/>
        <v>February</v>
      </c>
    </row>
    <row r="22" spans="1:11" x14ac:dyDescent="0.3">
      <c r="A22" s="6">
        <v>46092</v>
      </c>
      <c r="B22" s="1" t="s">
        <v>92</v>
      </c>
      <c r="C22" s="1" t="s">
        <v>173</v>
      </c>
      <c r="D22" s="1" t="s">
        <v>185</v>
      </c>
      <c r="E22" s="1" t="s">
        <v>189</v>
      </c>
      <c r="F22" s="1" t="s">
        <v>200</v>
      </c>
      <c r="G22" s="1">
        <v>9</v>
      </c>
      <c r="H22" s="1">
        <v>50</v>
      </c>
      <c r="I22" s="1" t="s">
        <v>206</v>
      </c>
      <c r="J22" s="1">
        <v>450</v>
      </c>
      <c r="K22" s="1" t="str">
        <f t="shared" si="0"/>
        <v>March</v>
      </c>
    </row>
    <row r="23" spans="1:11" x14ac:dyDescent="0.3">
      <c r="A23" s="6">
        <v>46037</v>
      </c>
      <c r="B23" s="1" t="s">
        <v>93</v>
      </c>
      <c r="C23" s="1" t="s">
        <v>178</v>
      </c>
      <c r="D23" s="1" t="s">
        <v>182</v>
      </c>
      <c r="E23" s="1" t="s">
        <v>190</v>
      </c>
      <c r="F23" s="1" t="s">
        <v>196</v>
      </c>
      <c r="G23" s="1">
        <v>6</v>
      </c>
      <c r="H23" s="1">
        <v>350</v>
      </c>
      <c r="I23" s="1" t="s">
        <v>203</v>
      </c>
      <c r="J23" s="1">
        <v>2100</v>
      </c>
      <c r="K23" s="1" t="str">
        <f t="shared" si="0"/>
        <v>January</v>
      </c>
    </row>
    <row r="24" spans="1:11" x14ac:dyDescent="0.3">
      <c r="A24" s="6">
        <v>46033</v>
      </c>
      <c r="B24" s="1" t="s">
        <v>94</v>
      </c>
      <c r="C24" s="1" t="s">
        <v>180</v>
      </c>
      <c r="D24" s="1" t="s">
        <v>183</v>
      </c>
      <c r="E24" s="1" t="s">
        <v>188</v>
      </c>
      <c r="F24" s="1" t="s">
        <v>193</v>
      </c>
      <c r="G24" s="1">
        <v>2</v>
      </c>
      <c r="H24" s="1">
        <v>80</v>
      </c>
      <c r="I24" s="1" t="s">
        <v>204</v>
      </c>
      <c r="J24" s="1">
        <v>160</v>
      </c>
      <c r="K24" s="1" t="str">
        <f t="shared" si="0"/>
        <v>January</v>
      </c>
    </row>
    <row r="25" spans="1:11" x14ac:dyDescent="0.3">
      <c r="A25" s="6">
        <v>46083</v>
      </c>
      <c r="B25" s="1" t="s">
        <v>95</v>
      </c>
      <c r="C25" s="1" t="s">
        <v>179</v>
      </c>
      <c r="D25" s="1" t="s">
        <v>184</v>
      </c>
      <c r="E25" s="1" t="s">
        <v>188</v>
      </c>
      <c r="F25" s="1" t="s">
        <v>193</v>
      </c>
      <c r="G25" s="1">
        <v>9</v>
      </c>
      <c r="H25" s="1">
        <v>80</v>
      </c>
      <c r="I25" s="1" t="s">
        <v>205</v>
      </c>
      <c r="J25" s="1">
        <v>720</v>
      </c>
      <c r="K25" s="1" t="str">
        <f t="shared" si="0"/>
        <v>March</v>
      </c>
    </row>
    <row r="26" spans="1:11" x14ac:dyDescent="0.3">
      <c r="A26" s="6">
        <v>46111</v>
      </c>
      <c r="B26" s="1" t="s">
        <v>96</v>
      </c>
      <c r="C26" s="1" t="s">
        <v>178</v>
      </c>
      <c r="D26" s="1" t="s">
        <v>186</v>
      </c>
      <c r="E26" s="1" t="s">
        <v>188</v>
      </c>
      <c r="F26" s="1" t="s">
        <v>193</v>
      </c>
      <c r="G26" s="1">
        <v>4</v>
      </c>
      <c r="H26" s="1">
        <v>80</v>
      </c>
      <c r="I26" s="1" t="s">
        <v>206</v>
      </c>
      <c r="J26" s="1">
        <v>320</v>
      </c>
      <c r="K26" s="1" t="str">
        <f t="shared" si="0"/>
        <v>March</v>
      </c>
    </row>
    <row r="27" spans="1:11" x14ac:dyDescent="0.3">
      <c r="A27" s="6">
        <v>46080</v>
      </c>
      <c r="B27" s="1" t="s">
        <v>97</v>
      </c>
      <c r="C27" s="1" t="s">
        <v>172</v>
      </c>
      <c r="D27" s="1" t="s">
        <v>182</v>
      </c>
      <c r="E27" s="1" t="s">
        <v>190</v>
      </c>
      <c r="F27" s="1" t="s">
        <v>197</v>
      </c>
      <c r="G27" s="1">
        <v>2</v>
      </c>
      <c r="H27" s="1">
        <v>120</v>
      </c>
      <c r="I27" s="1" t="s">
        <v>203</v>
      </c>
      <c r="J27" s="1">
        <v>240</v>
      </c>
      <c r="K27" s="1" t="str">
        <f t="shared" si="0"/>
        <v>February</v>
      </c>
    </row>
    <row r="28" spans="1:11" x14ac:dyDescent="0.3">
      <c r="A28" s="6">
        <v>46098</v>
      </c>
      <c r="B28" s="1" t="s">
        <v>98</v>
      </c>
      <c r="C28" s="1" t="s">
        <v>172</v>
      </c>
      <c r="D28" s="1" t="s">
        <v>185</v>
      </c>
      <c r="E28" s="1" t="s">
        <v>189</v>
      </c>
      <c r="F28" s="1" t="s">
        <v>200</v>
      </c>
      <c r="G28" s="1">
        <v>9</v>
      </c>
      <c r="H28" s="1">
        <v>50</v>
      </c>
      <c r="I28" s="1" t="s">
        <v>204</v>
      </c>
      <c r="J28" s="1">
        <v>450</v>
      </c>
      <c r="K28" s="1" t="str">
        <f t="shared" si="0"/>
        <v>March</v>
      </c>
    </row>
    <row r="29" spans="1:11" x14ac:dyDescent="0.3">
      <c r="A29" s="6">
        <v>46103</v>
      </c>
      <c r="B29" s="1" t="s">
        <v>99</v>
      </c>
      <c r="C29" s="1" t="s">
        <v>172</v>
      </c>
      <c r="D29" s="1" t="s">
        <v>183</v>
      </c>
      <c r="E29" s="1" t="s">
        <v>187</v>
      </c>
      <c r="F29" s="1" t="s">
        <v>191</v>
      </c>
      <c r="G29" s="1">
        <v>1</v>
      </c>
      <c r="H29" s="1">
        <v>850</v>
      </c>
      <c r="I29" s="1" t="s">
        <v>203</v>
      </c>
      <c r="J29" s="1">
        <v>850</v>
      </c>
      <c r="K29" s="1" t="str">
        <f t="shared" si="0"/>
        <v>March</v>
      </c>
    </row>
    <row r="30" spans="1:11" x14ac:dyDescent="0.3">
      <c r="A30" s="6">
        <v>46088</v>
      </c>
      <c r="B30" s="1" t="s">
        <v>100</v>
      </c>
      <c r="C30" s="1" t="s">
        <v>178</v>
      </c>
      <c r="D30" s="1" t="s">
        <v>186</v>
      </c>
      <c r="E30" s="1" t="s">
        <v>189</v>
      </c>
      <c r="F30" s="1" t="s">
        <v>200</v>
      </c>
      <c r="G30" s="1">
        <v>4</v>
      </c>
      <c r="H30" s="1">
        <v>50</v>
      </c>
      <c r="I30" s="1" t="s">
        <v>204</v>
      </c>
      <c r="J30" s="1">
        <v>200</v>
      </c>
      <c r="K30" s="1" t="str">
        <f t="shared" si="0"/>
        <v>March</v>
      </c>
    </row>
    <row r="31" spans="1:11" x14ac:dyDescent="0.3">
      <c r="A31" s="6">
        <v>46096</v>
      </c>
      <c r="B31" s="1" t="s">
        <v>101</v>
      </c>
      <c r="C31" s="1" t="s">
        <v>180</v>
      </c>
      <c r="D31" s="1" t="s">
        <v>182</v>
      </c>
      <c r="E31" s="1" t="s">
        <v>188</v>
      </c>
      <c r="F31" s="1" t="s">
        <v>193</v>
      </c>
      <c r="G31" s="1">
        <v>10</v>
      </c>
      <c r="H31" s="1">
        <v>80</v>
      </c>
      <c r="I31" s="1" t="s">
        <v>205</v>
      </c>
      <c r="J31" s="1">
        <v>800</v>
      </c>
      <c r="K31" s="1" t="str">
        <f t="shared" si="0"/>
        <v>March</v>
      </c>
    </row>
    <row r="32" spans="1:11" x14ac:dyDescent="0.3">
      <c r="A32" s="6">
        <v>46035</v>
      </c>
      <c r="B32" s="1" t="s">
        <v>102</v>
      </c>
      <c r="C32" s="1" t="s">
        <v>181</v>
      </c>
      <c r="D32" s="1" t="s">
        <v>184</v>
      </c>
      <c r="E32" s="1" t="s">
        <v>190</v>
      </c>
      <c r="F32" s="1" t="s">
        <v>196</v>
      </c>
      <c r="G32" s="1">
        <v>2</v>
      </c>
      <c r="H32" s="1">
        <v>350</v>
      </c>
      <c r="I32" s="1" t="s">
        <v>205</v>
      </c>
      <c r="J32" s="1">
        <v>700</v>
      </c>
      <c r="K32" s="1" t="str">
        <f t="shared" si="0"/>
        <v>January</v>
      </c>
    </row>
    <row r="33" spans="1:11" x14ac:dyDescent="0.3">
      <c r="A33" s="6">
        <v>46029</v>
      </c>
      <c r="B33" s="1" t="s">
        <v>103</v>
      </c>
      <c r="C33" s="1" t="s">
        <v>173</v>
      </c>
      <c r="D33" s="1" t="s">
        <v>186</v>
      </c>
      <c r="E33" s="1" t="s">
        <v>190</v>
      </c>
      <c r="F33" s="1" t="s">
        <v>201</v>
      </c>
      <c r="G33" s="1">
        <v>2</v>
      </c>
      <c r="H33" s="1">
        <v>60</v>
      </c>
      <c r="I33" s="1" t="s">
        <v>206</v>
      </c>
      <c r="J33" s="1">
        <v>120</v>
      </c>
      <c r="K33" s="1" t="str">
        <f t="shared" si="0"/>
        <v>January</v>
      </c>
    </row>
    <row r="34" spans="1:11" x14ac:dyDescent="0.3">
      <c r="A34" s="6">
        <v>46047</v>
      </c>
      <c r="B34" s="1" t="s">
        <v>104</v>
      </c>
      <c r="C34" s="1" t="s">
        <v>174</v>
      </c>
      <c r="D34" s="1" t="s">
        <v>186</v>
      </c>
      <c r="E34" s="1" t="s">
        <v>187</v>
      </c>
      <c r="F34" s="1" t="s">
        <v>191</v>
      </c>
      <c r="G34" s="1">
        <v>4</v>
      </c>
      <c r="H34" s="1">
        <v>850</v>
      </c>
      <c r="I34" s="1" t="s">
        <v>204</v>
      </c>
      <c r="J34" s="1">
        <v>3400</v>
      </c>
      <c r="K34" s="1" t="str">
        <f t="shared" si="0"/>
        <v>January</v>
      </c>
    </row>
    <row r="35" spans="1:11" x14ac:dyDescent="0.3">
      <c r="A35" s="6">
        <v>46058</v>
      </c>
      <c r="B35" s="1" t="s">
        <v>105</v>
      </c>
      <c r="C35" s="1" t="s">
        <v>172</v>
      </c>
      <c r="D35" s="1" t="s">
        <v>183</v>
      </c>
      <c r="E35" s="1" t="s">
        <v>190</v>
      </c>
      <c r="F35" s="1" t="s">
        <v>196</v>
      </c>
      <c r="G35" s="1">
        <v>8</v>
      </c>
      <c r="H35" s="1">
        <v>350</v>
      </c>
      <c r="I35" s="1" t="s">
        <v>205</v>
      </c>
      <c r="J35" s="1">
        <v>2800</v>
      </c>
      <c r="K35" s="1" t="str">
        <f t="shared" si="0"/>
        <v>February</v>
      </c>
    </row>
    <row r="36" spans="1:11" x14ac:dyDescent="0.3">
      <c r="A36" s="6">
        <v>46106</v>
      </c>
      <c r="B36" s="1" t="s">
        <v>106</v>
      </c>
      <c r="C36" s="1" t="s">
        <v>173</v>
      </c>
      <c r="D36" s="1" t="s">
        <v>183</v>
      </c>
      <c r="E36" s="1" t="s">
        <v>187</v>
      </c>
      <c r="F36" s="1" t="s">
        <v>191</v>
      </c>
      <c r="G36" s="1">
        <v>9</v>
      </c>
      <c r="H36" s="1">
        <v>850</v>
      </c>
      <c r="I36" s="1" t="s">
        <v>204</v>
      </c>
      <c r="J36" s="1">
        <v>7650</v>
      </c>
      <c r="K36" s="1" t="str">
        <f t="shared" si="0"/>
        <v>March</v>
      </c>
    </row>
    <row r="37" spans="1:11" x14ac:dyDescent="0.3">
      <c r="A37" s="6">
        <v>46085</v>
      </c>
      <c r="B37" s="1" t="s">
        <v>107</v>
      </c>
      <c r="C37" s="1" t="s">
        <v>172</v>
      </c>
      <c r="D37" s="1" t="s">
        <v>186</v>
      </c>
      <c r="E37" s="1" t="s">
        <v>188</v>
      </c>
      <c r="F37" s="1" t="s">
        <v>194</v>
      </c>
      <c r="G37" s="1">
        <v>8</v>
      </c>
      <c r="H37" s="1">
        <v>250</v>
      </c>
      <c r="I37" s="1" t="s">
        <v>203</v>
      </c>
      <c r="J37" s="1">
        <v>2000</v>
      </c>
      <c r="K37" s="1" t="str">
        <f t="shared" si="0"/>
        <v>March</v>
      </c>
    </row>
    <row r="38" spans="1:11" x14ac:dyDescent="0.3">
      <c r="A38" s="6">
        <v>46023</v>
      </c>
      <c r="B38" s="1" t="s">
        <v>108</v>
      </c>
      <c r="C38" s="1" t="s">
        <v>178</v>
      </c>
      <c r="D38" s="1" t="s">
        <v>186</v>
      </c>
      <c r="E38" s="1" t="s">
        <v>188</v>
      </c>
      <c r="F38" s="1" t="s">
        <v>194</v>
      </c>
      <c r="G38" s="1">
        <v>7</v>
      </c>
      <c r="H38" s="1">
        <v>250</v>
      </c>
      <c r="I38" s="1" t="s">
        <v>206</v>
      </c>
      <c r="J38" s="1">
        <v>1750</v>
      </c>
      <c r="K38" s="1" t="str">
        <f t="shared" si="0"/>
        <v>January</v>
      </c>
    </row>
    <row r="39" spans="1:11" x14ac:dyDescent="0.3">
      <c r="A39" s="6">
        <v>46094</v>
      </c>
      <c r="B39" s="1" t="s">
        <v>109</v>
      </c>
      <c r="C39" s="1" t="s">
        <v>179</v>
      </c>
      <c r="D39" s="1" t="s">
        <v>182</v>
      </c>
      <c r="E39" s="1" t="s">
        <v>190</v>
      </c>
      <c r="F39" s="1" t="s">
        <v>197</v>
      </c>
      <c r="G39" s="1">
        <v>8</v>
      </c>
      <c r="H39" s="1">
        <v>120</v>
      </c>
      <c r="I39" s="1" t="s">
        <v>206</v>
      </c>
      <c r="J39" s="1">
        <v>960</v>
      </c>
      <c r="K39" s="1" t="str">
        <f t="shared" si="0"/>
        <v>March</v>
      </c>
    </row>
    <row r="40" spans="1:11" x14ac:dyDescent="0.3">
      <c r="A40" s="6">
        <v>46097</v>
      </c>
      <c r="B40" s="1" t="s">
        <v>110</v>
      </c>
      <c r="C40" s="1" t="s">
        <v>173</v>
      </c>
      <c r="D40" s="1" t="s">
        <v>184</v>
      </c>
      <c r="E40" s="1" t="s">
        <v>188</v>
      </c>
      <c r="F40" s="1" t="s">
        <v>199</v>
      </c>
      <c r="G40" s="1">
        <v>9</v>
      </c>
      <c r="H40" s="1">
        <v>120</v>
      </c>
      <c r="I40" s="1" t="s">
        <v>203</v>
      </c>
      <c r="J40" s="1">
        <v>1080</v>
      </c>
      <c r="K40" s="1" t="str">
        <f t="shared" si="0"/>
        <v>March</v>
      </c>
    </row>
    <row r="41" spans="1:11" x14ac:dyDescent="0.3">
      <c r="A41" s="6">
        <v>46084</v>
      </c>
      <c r="B41" s="1" t="s">
        <v>111</v>
      </c>
      <c r="C41" s="1" t="s">
        <v>174</v>
      </c>
      <c r="D41" s="1" t="s">
        <v>182</v>
      </c>
      <c r="E41" s="1" t="s">
        <v>187</v>
      </c>
      <c r="F41" s="1" t="s">
        <v>192</v>
      </c>
      <c r="G41" s="1">
        <v>9</v>
      </c>
      <c r="H41" s="1">
        <v>180</v>
      </c>
      <c r="I41" s="1" t="s">
        <v>203</v>
      </c>
      <c r="J41" s="1">
        <v>1620</v>
      </c>
      <c r="K41" s="1" t="str">
        <f t="shared" si="0"/>
        <v>March</v>
      </c>
    </row>
    <row r="42" spans="1:11" x14ac:dyDescent="0.3">
      <c r="A42" s="6">
        <v>46031</v>
      </c>
      <c r="B42" s="1" t="s">
        <v>112</v>
      </c>
      <c r="C42" s="1" t="s">
        <v>177</v>
      </c>
      <c r="D42" s="1" t="s">
        <v>182</v>
      </c>
      <c r="E42" s="1" t="s">
        <v>187</v>
      </c>
      <c r="F42" s="1" t="s">
        <v>191</v>
      </c>
      <c r="G42" s="1">
        <v>10</v>
      </c>
      <c r="H42" s="1">
        <v>850</v>
      </c>
      <c r="I42" s="1" t="s">
        <v>205</v>
      </c>
      <c r="J42" s="1">
        <v>8500</v>
      </c>
      <c r="K42" s="1" t="str">
        <f t="shared" si="0"/>
        <v>January</v>
      </c>
    </row>
    <row r="43" spans="1:11" x14ac:dyDescent="0.3">
      <c r="A43" s="6">
        <v>46054</v>
      </c>
      <c r="B43" s="1" t="s">
        <v>113</v>
      </c>
      <c r="C43" s="1" t="s">
        <v>176</v>
      </c>
      <c r="D43" s="1" t="s">
        <v>183</v>
      </c>
      <c r="E43" s="1" t="s">
        <v>187</v>
      </c>
      <c r="F43" s="1" t="s">
        <v>192</v>
      </c>
      <c r="G43" s="1">
        <v>10</v>
      </c>
      <c r="H43" s="1">
        <v>180</v>
      </c>
      <c r="I43" s="1" t="s">
        <v>203</v>
      </c>
      <c r="J43" s="1">
        <v>1800</v>
      </c>
      <c r="K43" s="1" t="str">
        <f t="shared" si="0"/>
        <v>February</v>
      </c>
    </row>
    <row r="44" spans="1:11" x14ac:dyDescent="0.3">
      <c r="A44" s="6">
        <v>46097</v>
      </c>
      <c r="B44" s="1" t="s">
        <v>114</v>
      </c>
      <c r="C44" s="1" t="s">
        <v>174</v>
      </c>
      <c r="D44" s="1" t="s">
        <v>184</v>
      </c>
      <c r="E44" s="1" t="s">
        <v>190</v>
      </c>
      <c r="F44" s="1" t="s">
        <v>197</v>
      </c>
      <c r="G44" s="1">
        <v>10</v>
      </c>
      <c r="H44" s="1">
        <v>120</v>
      </c>
      <c r="I44" s="1" t="s">
        <v>206</v>
      </c>
      <c r="J44" s="1">
        <v>1200</v>
      </c>
      <c r="K44" s="1" t="str">
        <f t="shared" si="0"/>
        <v>March</v>
      </c>
    </row>
    <row r="45" spans="1:11" x14ac:dyDescent="0.3">
      <c r="A45" s="6">
        <v>46063</v>
      </c>
      <c r="B45" s="1" t="s">
        <v>115</v>
      </c>
      <c r="C45" s="1" t="s">
        <v>178</v>
      </c>
      <c r="D45" s="1" t="s">
        <v>186</v>
      </c>
      <c r="E45" s="1" t="s">
        <v>188</v>
      </c>
      <c r="F45" s="1" t="s">
        <v>193</v>
      </c>
      <c r="G45" s="1">
        <v>4</v>
      </c>
      <c r="H45" s="1">
        <v>80</v>
      </c>
      <c r="I45" s="1" t="s">
        <v>204</v>
      </c>
      <c r="J45" s="1">
        <v>320</v>
      </c>
      <c r="K45" s="1" t="str">
        <f t="shared" si="0"/>
        <v>February</v>
      </c>
    </row>
    <row r="46" spans="1:11" x14ac:dyDescent="0.3">
      <c r="A46" s="6">
        <v>46063</v>
      </c>
      <c r="B46" s="1" t="s">
        <v>116</v>
      </c>
      <c r="C46" s="1" t="s">
        <v>173</v>
      </c>
      <c r="D46" s="1" t="s">
        <v>186</v>
      </c>
      <c r="E46" s="1" t="s">
        <v>189</v>
      </c>
      <c r="F46" s="1" t="s">
        <v>195</v>
      </c>
      <c r="G46" s="1">
        <v>2</v>
      </c>
      <c r="H46" s="1">
        <v>40</v>
      </c>
      <c r="I46" s="1" t="s">
        <v>203</v>
      </c>
      <c r="J46" s="1">
        <v>80</v>
      </c>
      <c r="K46" s="1" t="str">
        <f t="shared" si="0"/>
        <v>February</v>
      </c>
    </row>
    <row r="47" spans="1:11" x14ac:dyDescent="0.3">
      <c r="A47" s="6">
        <v>46050</v>
      </c>
      <c r="B47" s="1" t="s">
        <v>117</v>
      </c>
      <c r="C47" s="1" t="s">
        <v>178</v>
      </c>
      <c r="D47" s="1" t="s">
        <v>182</v>
      </c>
      <c r="E47" s="1" t="s">
        <v>187</v>
      </c>
      <c r="F47" s="1" t="s">
        <v>192</v>
      </c>
      <c r="G47" s="1">
        <v>9</v>
      </c>
      <c r="H47" s="1">
        <v>180</v>
      </c>
      <c r="I47" s="1" t="s">
        <v>206</v>
      </c>
      <c r="J47" s="1">
        <v>1620</v>
      </c>
      <c r="K47" s="1" t="str">
        <f t="shared" si="0"/>
        <v>January</v>
      </c>
    </row>
    <row r="48" spans="1:11" x14ac:dyDescent="0.3">
      <c r="A48" s="6">
        <v>46070</v>
      </c>
      <c r="B48" s="1" t="s">
        <v>118</v>
      </c>
      <c r="C48" s="1" t="s">
        <v>179</v>
      </c>
      <c r="D48" s="1" t="s">
        <v>186</v>
      </c>
      <c r="E48" s="1" t="s">
        <v>187</v>
      </c>
      <c r="F48" s="1" t="s">
        <v>191</v>
      </c>
      <c r="G48" s="1">
        <v>5</v>
      </c>
      <c r="H48" s="1">
        <v>850</v>
      </c>
      <c r="I48" s="1" t="s">
        <v>206</v>
      </c>
      <c r="J48" s="1">
        <v>4250</v>
      </c>
      <c r="K48" s="1" t="str">
        <f t="shared" si="0"/>
        <v>February</v>
      </c>
    </row>
    <row r="49" spans="1:11" x14ac:dyDescent="0.3">
      <c r="A49" s="6">
        <v>46093</v>
      </c>
      <c r="B49" s="1" t="s">
        <v>119</v>
      </c>
      <c r="C49" s="1" t="s">
        <v>177</v>
      </c>
      <c r="D49" s="1" t="s">
        <v>182</v>
      </c>
      <c r="E49" s="1" t="s">
        <v>187</v>
      </c>
      <c r="F49" s="1" t="s">
        <v>192</v>
      </c>
      <c r="G49" s="1">
        <v>5</v>
      </c>
      <c r="H49" s="1">
        <v>180</v>
      </c>
      <c r="I49" s="1" t="s">
        <v>206</v>
      </c>
      <c r="J49" s="1">
        <v>900</v>
      </c>
      <c r="K49" s="1" t="str">
        <f t="shared" si="0"/>
        <v>March</v>
      </c>
    </row>
    <row r="50" spans="1:11" x14ac:dyDescent="0.3">
      <c r="A50" s="6">
        <v>46093</v>
      </c>
      <c r="B50" s="1" t="s">
        <v>120</v>
      </c>
      <c r="C50" s="1" t="s">
        <v>178</v>
      </c>
      <c r="D50" s="1" t="s">
        <v>184</v>
      </c>
      <c r="E50" s="1" t="s">
        <v>187</v>
      </c>
      <c r="F50" s="1" t="s">
        <v>191</v>
      </c>
      <c r="G50" s="1">
        <v>3</v>
      </c>
      <c r="H50" s="1">
        <v>850</v>
      </c>
      <c r="I50" s="1" t="s">
        <v>204</v>
      </c>
      <c r="J50" s="1">
        <v>2550</v>
      </c>
      <c r="K50" s="1" t="str">
        <f t="shared" si="0"/>
        <v>March</v>
      </c>
    </row>
    <row r="51" spans="1:11" x14ac:dyDescent="0.3">
      <c r="A51" s="6">
        <v>46110</v>
      </c>
      <c r="B51" s="1" t="s">
        <v>121</v>
      </c>
      <c r="C51" s="1" t="s">
        <v>174</v>
      </c>
      <c r="D51" s="1" t="s">
        <v>186</v>
      </c>
      <c r="E51" s="1" t="s">
        <v>189</v>
      </c>
      <c r="F51" s="1" t="s">
        <v>200</v>
      </c>
      <c r="G51" s="1">
        <v>5</v>
      </c>
      <c r="H51" s="1">
        <v>50</v>
      </c>
      <c r="I51" s="1" t="s">
        <v>206</v>
      </c>
      <c r="J51" s="1">
        <v>250</v>
      </c>
      <c r="K51" s="1" t="str">
        <f t="shared" si="0"/>
        <v>March</v>
      </c>
    </row>
    <row r="52" spans="1:11" x14ac:dyDescent="0.3">
      <c r="A52" s="6">
        <v>46104</v>
      </c>
      <c r="B52" s="1" t="s">
        <v>122</v>
      </c>
      <c r="C52" s="1" t="s">
        <v>178</v>
      </c>
      <c r="D52" s="1" t="s">
        <v>183</v>
      </c>
      <c r="E52" s="1" t="s">
        <v>187</v>
      </c>
      <c r="F52" s="1" t="s">
        <v>191</v>
      </c>
      <c r="G52" s="1">
        <v>7</v>
      </c>
      <c r="H52" s="1">
        <v>850</v>
      </c>
      <c r="I52" s="1" t="s">
        <v>203</v>
      </c>
      <c r="J52" s="1">
        <v>5950</v>
      </c>
      <c r="K52" s="1" t="str">
        <f t="shared" si="0"/>
        <v>March</v>
      </c>
    </row>
    <row r="53" spans="1:11" x14ac:dyDescent="0.3">
      <c r="A53" s="6">
        <v>46104</v>
      </c>
      <c r="B53" s="1" t="s">
        <v>123</v>
      </c>
      <c r="C53" s="1" t="s">
        <v>179</v>
      </c>
      <c r="D53" s="1" t="s">
        <v>186</v>
      </c>
      <c r="E53" s="1" t="s">
        <v>189</v>
      </c>
      <c r="F53" s="1" t="s">
        <v>200</v>
      </c>
      <c r="G53" s="1">
        <v>5</v>
      </c>
      <c r="H53" s="1">
        <v>50</v>
      </c>
      <c r="I53" s="1" t="s">
        <v>205</v>
      </c>
      <c r="J53" s="1">
        <v>250</v>
      </c>
      <c r="K53" s="1" t="str">
        <f t="shared" si="0"/>
        <v>March</v>
      </c>
    </row>
    <row r="54" spans="1:11" x14ac:dyDescent="0.3">
      <c r="A54" s="6">
        <v>46032</v>
      </c>
      <c r="B54" s="1" t="s">
        <v>124</v>
      </c>
      <c r="C54" s="1" t="s">
        <v>174</v>
      </c>
      <c r="D54" s="1" t="s">
        <v>183</v>
      </c>
      <c r="E54" s="1" t="s">
        <v>187</v>
      </c>
      <c r="F54" s="1" t="s">
        <v>191</v>
      </c>
      <c r="G54" s="1">
        <v>3</v>
      </c>
      <c r="H54" s="1">
        <v>850</v>
      </c>
      <c r="I54" s="1" t="s">
        <v>206</v>
      </c>
      <c r="J54" s="1">
        <v>2550</v>
      </c>
      <c r="K54" s="1" t="str">
        <f t="shared" si="0"/>
        <v>January</v>
      </c>
    </row>
    <row r="55" spans="1:11" x14ac:dyDescent="0.3">
      <c r="A55" s="6">
        <v>46039</v>
      </c>
      <c r="B55" s="1" t="s">
        <v>125</v>
      </c>
      <c r="C55" s="1" t="s">
        <v>178</v>
      </c>
      <c r="D55" s="1" t="s">
        <v>184</v>
      </c>
      <c r="E55" s="1" t="s">
        <v>188</v>
      </c>
      <c r="F55" s="1" t="s">
        <v>194</v>
      </c>
      <c r="G55" s="1">
        <v>1</v>
      </c>
      <c r="H55" s="1">
        <v>250</v>
      </c>
      <c r="I55" s="1" t="s">
        <v>203</v>
      </c>
      <c r="J55" s="1">
        <v>250</v>
      </c>
      <c r="K55" s="1" t="str">
        <f t="shared" si="0"/>
        <v>January</v>
      </c>
    </row>
    <row r="56" spans="1:11" x14ac:dyDescent="0.3">
      <c r="A56" s="6">
        <v>46110</v>
      </c>
      <c r="B56" s="1" t="s">
        <v>126</v>
      </c>
      <c r="C56" s="1" t="s">
        <v>177</v>
      </c>
      <c r="D56" s="1" t="s">
        <v>184</v>
      </c>
      <c r="E56" s="1" t="s">
        <v>189</v>
      </c>
      <c r="F56" s="1" t="s">
        <v>200</v>
      </c>
      <c r="G56" s="1">
        <v>4</v>
      </c>
      <c r="H56" s="1">
        <v>50</v>
      </c>
      <c r="I56" s="1" t="s">
        <v>205</v>
      </c>
      <c r="J56" s="1">
        <v>200</v>
      </c>
      <c r="K56" s="1" t="str">
        <f t="shared" si="0"/>
        <v>March</v>
      </c>
    </row>
    <row r="57" spans="1:11" x14ac:dyDescent="0.3">
      <c r="A57" s="6">
        <v>46043</v>
      </c>
      <c r="B57" s="1" t="s">
        <v>127</v>
      </c>
      <c r="C57" s="1" t="s">
        <v>181</v>
      </c>
      <c r="D57" s="1" t="s">
        <v>183</v>
      </c>
      <c r="E57" s="1" t="s">
        <v>188</v>
      </c>
      <c r="F57" s="1" t="s">
        <v>199</v>
      </c>
      <c r="G57" s="1">
        <v>3</v>
      </c>
      <c r="H57" s="1">
        <v>120</v>
      </c>
      <c r="I57" s="1" t="s">
        <v>204</v>
      </c>
      <c r="J57" s="1">
        <v>360</v>
      </c>
      <c r="K57" s="1" t="str">
        <f t="shared" si="0"/>
        <v>January</v>
      </c>
    </row>
    <row r="58" spans="1:11" x14ac:dyDescent="0.3">
      <c r="A58" s="6">
        <v>46108</v>
      </c>
      <c r="B58" s="1" t="s">
        <v>128</v>
      </c>
      <c r="C58" s="1" t="s">
        <v>178</v>
      </c>
      <c r="D58" s="1" t="s">
        <v>182</v>
      </c>
      <c r="E58" s="1" t="s">
        <v>189</v>
      </c>
      <c r="F58" s="1" t="s">
        <v>195</v>
      </c>
      <c r="G58" s="1">
        <v>4</v>
      </c>
      <c r="H58" s="1">
        <v>40</v>
      </c>
      <c r="I58" s="1" t="s">
        <v>203</v>
      </c>
      <c r="J58" s="1">
        <v>160</v>
      </c>
      <c r="K58" s="1" t="str">
        <f t="shared" si="0"/>
        <v>March</v>
      </c>
    </row>
    <row r="59" spans="1:11" x14ac:dyDescent="0.3">
      <c r="A59" s="6">
        <v>46083</v>
      </c>
      <c r="B59" s="1" t="s">
        <v>129</v>
      </c>
      <c r="C59" s="1" t="s">
        <v>172</v>
      </c>
      <c r="D59" s="1" t="s">
        <v>186</v>
      </c>
      <c r="E59" s="1" t="s">
        <v>190</v>
      </c>
      <c r="F59" s="1" t="s">
        <v>196</v>
      </c>
      <c r="G59" s="1">
        <v>4</v>
      </c>
      <c r="H59" s="1">
        <v>350</v>
      </c>
      <c r="I59" s="1" t="s">
        <v>206</v>
      </c>
      <c r="J59" s="1">
        <v>1400</v>
      </c>
      <c r="K59" s="1" t="str">
        <f t="shared" si="0"/>
        <v>March</v>
      </c>
    </row>
    <row r="60" spans="1:11" x14ac:dyDescent="0.3">
      <c r="A60" s="6">
        <v>46051</v>
      </c>
      <c r="B60" s="1" t="s">
        <v>130</v>
      </c>
      <c r="C60" s="1" t="s">
        <v>172</v>
      </c>
      <c r="D60" s="1" t="s">
        <v>186</v>
      </c>
      <c r="E60" s="1" t="s">
        <v>189</v>
      </c>
      <c r="F60" s="1" t="s">
        <v>200</v>
      </c>
      <c r="G60" s="1">
        <v>1</v>
      </c>
      <c r="H60" s="1">
        <v>50</v>
      </c>
      <c r="I60" s="1" t="s">
        <v>206</v>
      </c>
      <c r="J60" s="1">
        <v>50</v>
      </c>
      <c r="K60" s="1" t="str">
        <f t="shared" si="0"/>
        <v>January</v>
      </c>
    </row>
    <row r="61" spans="1:11" x14ac:dyDescent="0.3">
      <c r="A61" s="6">
        <v>46058</v>
      </c>
      <c r="B61" s="1" t="s">
        <v>131</v>
      </c>
      <c r="C61" s="1" t="s">
        <v>174</v>
      </c>
      <c r="D61" s="1" t="s">
        <v>186</v>
      </c>
      <c r="E61" s="1" t="s">
        <v>189</v>
      </c>
      <c r="F61" s="1" t="s">
        <v>200</v>
      </c>
      <c r="G61" s="1">
        <v>6</v>
      </c>
      <c r="H61" s="1">
        <v>50</v>
      </c>
      <c r="I61" s="1" t="s">
        <v>206</v>
      </c>
      <c r="J61" s="1">
        <v>300</v>
      </c>
      <c r="K61" s="1" t="str">
        <f t="shared" si="0"/>
        <v>February</v>
      </c>
    </row>
    <row r="62" spans="1:11" x14ac:dyDescent="0.3">
      <c r="A62" s="6">
        <v>46056</v>
      </c>
      <c r="B62" s="1" t="s">
        <v>132</v>
      </c>
      <c r="C62" s="1" t="s">
        <v>176</v>
      </c>
      <c r="D62" s="1" t="s">
        <v>184</v>
      </c>
      <c r="E62" s="1" t="s">
        <v>187</v>
      </c>
      <c r="F62" s="1" t="s">
        <v>191</v>
      </c>
      <c r="G62" s="1">
        <v>3</v>
      </c>
      <c r="H62" s="1">
        <v>850</v>
      </c>
      <c r="I62" s="1" t="s">
        <v>203</v>
      </c>
      <c r="J62" s="1">
        <v>2550</v>
      </c>
      <c r="K62" s="1" t="str">
        <f t="shared" si="0"/>
        <v>February</v>
      </c>
    </row>
    <row r="63" spans="1:11" x14ac:dyDescent="0.3">
      <c r="A63" s="6">
        <v>46078</v>
      </c>
      <c r="B63" s="1" t="s">
        <v>133</v>
      </c>
      <c r="C63" s="1" t="s">
        <v>175</v>
      </c>
      <c r="D63" s="1" t="s">
        <v>186</v>
      </c>
      <c r="E63" s="1" t="s">
        <v>187</v>
      </c>
      <c r="F63" s="1" t="s">
        <v>192</v>
      </c>
      <c r="G63" s="1">
        <v>6</v>
      </c>
      <c r="H63" s="1">
        <v>180</v>
      </c>
      <c r="I63" s="1" t="s">
        <v>203</v>
      </c>
      <c r="J63" s="1">
        <v>1080</v>
      </c>
      <c r="K63" s="1" t="str">
        <f t="shared" si="0"/>
        <v>February</v>
      </c>
    </row>
    <row r="64" spans="1:11" x14ac:dyDescent="0.3">
      <c r="A64" s="6">
        <v>46047</v>
      </c>
      <c r="B64" s="1" t="s">
        <v>134</v>
      </c>
      <c r="C64" s="1" t="s">
        <v>173</v>
      </c>
      <c r="D64" s="1" t="s">
        <v>186</v>
      </c>
      <c r="E64" s="1" t="s">
        <v>190</v>
      </c>
      <c r="F64" s="1" t="s">
        <v>197</v>
      </c>
      <c r="G64" s="1">
        <v>5</v>
      </c>
      <c r="H64" s="1">
        <v>120</v>
      </c>
      <c r="I64" s="1" t="s">
        <v>203</v>
      </c>
      <c r="J64" s="1">
        <v>600</v>
      </c>
      <c r="K64" s="1" t="str">
        <f t="shared" si="0"/>
        <v>January</v>
      </c>
    </row>
    <row r="65" spans="1:11" x14ac:dyDescent="0.3">
      <c r="A65" s="6">
        <v>46078</v>
      </c>
      <c r="B65" s="1" t="s">
        <v>135</v>
      </c>
      <c r="C65" s="1" t="s">
        <v>175</v>
      </c>
      <c r="D65" s="1" t="s">
        <v>185</v>
      </c>
      <c r="E65" s="1" t="s">
        <v>188</v>
      </c>
      <c r="F65" s="1" t="s">
        <v>194</v>
      </c>
      <c r="G65" s="1">
        <v>2</v>
      </c>
      <c r="H65" s="1">
        <v>250</v>
      </c>
      <c r="I65" s="1" t="s">
        <v>206</v>
      </c>
      <c r="J65" s="1">
        <v>500</v>
      </c>
      <c r="K65" s="1" t="str">
        <f t="shared" si="0"/>
        <v>February</v>
      </c>
    </row>
    <row r="66" spans="1:11" x14ac:dyDescent="0.3">
      <c r="A66" s="6">
        <v>46061</v>
      </c>
      <c r="B66" s="1" t="s">
        <v>136</v>
      </c>
      <c r="C66" s="1" t="s">
        <v>178</v>
      </c>
      <c r="D66" s="1" t="s">
        <v>186</v>
      </c>
      <c r="E66" s="1" t="s">
        <v>187</v>
      </c>
      <c r="F66" s="1" t="s">
        <v>192</v>
      </c>
      <c r="G66" s="1">
        <v>9</v>
      </c>
      <c r="H66" s="1">
        <v>180</v>
      </c>
      <c r="I66" s="1" t="s">
        <v>206</v>
      </c>
      <c r="J66" s="1">
        <v>1620</v>
      </c>
      <c r="K66" s="1" t="str">
        <f t="shared" si="0"/>
        <v>February</v>
      </c>
    </row>
    <row r="67" spans="1:11" x14ac:dyDescent="0.3">
      <c r="A67" s="6">
        <v>46060</v>
      </c>
      <c r="B67" s="1" t="s">
        <v>137</v>
      </c>
      <c r="C67" s="1" t="s">
        <v>179</v>
      </c>
      <c r="D67" s="1" t="s">
        <v>182</v>
      </c>
      <c r="E67" s="1" t="s">
        <v>190</v>
      </c>
      <c r="F67" s="1" t="s">
        <v>197</v>
      </c>
      <c r="G67" s="1">
        <v>9</v>
      </c>
      <c r="H67" s="1">
        <v>120</v>
      </c>
      <c r="I67" s="1" t="s">
        <v>205</v>
      </c>
      <c r="J67" s="1">
        <v>1080</v>
      </c>
      <c r="K67" s="1" t="str">
        <f t="shared" ref="K67:K101" si="1">TEXT(A67,"mmmm")</f>
        <v>February</v>
      </c>
    </row>
    <row r="68" spans="1:11" x14ac:dyDescent="0.3">
      <c r="A68" s="6">
        <v>46045</v>
      </c>
      <c r="B68" s="1" t="s">
        <v>138</v>
      </c>
      <c r="C68" s="1" t="s">
        <v>176</v>
      </c>
      <c r="D68" s="1" t="s">
        <v>184</v>
      </c>
      <c r="E68" s="1" t="s">
        <v>190</v>
      </c>
      <c r="F68" s="1" t="s">
        <v>197</v>
      </c>
      <c r="G68" s="1">
        <v>10</v>
      </c>
      <c r="H68" s="1">
        <v>120</v>
      </c>
      <c r="I68" s="1" t="s">
        <v>205</v>
      </c>
      <c r="J68" s="1">
        <v>1200</v>
      </c>
      <c r="K68" s="1" t="str">
        <f t="shared" si="1"/>
        <v>January</v>
      </c>
    </row>
    <row r="69" spans="1:11" x14ac:dyDescent="0.3">
      <c r="A69" s="6">
        <v>46059</v>
      </c>
      <c r="B69" s="1" t="s">
        <v>139</v>
      </c>
      <c r="C69" s="1" t="s">
        <v>181</v>
      </c>
      <c r="D69" s="1" t="s">
        <v>185</v>
      </c>
      <c r="E69" s="1" t="s">
        <v>187</v>
      </c>
      <c r="F69" s="1" t="s">
        <v>202</v>
      </c>
      <c r="G69" s="1">
        <v>4</v>
      </c>
      <c r="H69" s="1">
        <v>500</v>
      </c>
      <c r="I69" s="1" t="s">
        <v>206</v>
      </c>
      <c r="J69" s="1">
        <v>2000</v>
      </c>
      <c r="K69" s="1" t="str">
        <f t="shared" si="1"/>
        <v>February</v>
      </c>
    </row>
    <row r="70" spans="1:11" x14ac:dyDescent="0.3">
      <c r="A70" s="6">
        <v>46079</v>
      </c>
      <c r="B70" s="1" t="s">
        <v>140</v>
      </c>
      <c r="C70" s="1" t="s">
        <v>174</v>
      </c>
      <c r="D70" s="1" t="s">
        <v>186</v>
      </c>
      <c r="E70" s="1" t="s">
        <v>190</v>
      </c>
      <c r="F70" s="1" t="s">
        <v>201</v>
      </c>
      <c r="G70" s="1">
        <v>4</v>
      </c>
      <c r="H70" s="1">
        <v>60</v>
      </c>
      <c r="I70" s="1" t="s">
        <v>204</v>
      </c>
      <c r="J70" s="1">
        <v>240</v>
      </c>
      <c r="K70" s="1" t="str">
        <f t="shared" si="1"/>
        <v>February</v>
      </c>
    </row>
    <row r="71" spans="1:11" x14ac:dyDescent="0.3">
      <c r="A71" s="6">
        <v>46088</v>
      </c>
      <c r="B71" s="1" t="s">
        <v>141</v>
      </c>
      <c r="C71" s="1" t="s">
        <v>175</v>
      </c>
      <c r="D71" s="1" t="s">
        <v>183</v>
      </c>
      <c r="E71" s="1" t="s">
        <v>187</v>
      </c>
      <c r="F71" s="1" t="s">
        <v>202</v>
      </c>
      <c r="G71" s="1">
        <v>10</v>
      </c>
      <c r="H71" s="1">
        <v>500</v>
      </c>
      <c r="I71" s="1" t="s">
        <v>204</v>
      </c>
      <c r="J71" s="1">
        <v>5000</v>
      </c>
      <c r="K71" s="1" t="str">
        <f t="shared" si="1"/>
        <v>March</v>
      </c>
    </row>
    <row r="72" spans="1:11" x14ac:dyDescent="0.3">
      <c r="A72" s="6">
        <v>46048</v>
      </c>
      <c r="B72" s="1" t="s">
        <v>142</v>
      </c>
      <c r="C72" s="1" t="s">
        <v>173</v>
      </c>
      <c r="D72" s="1" t="s">
        <v>183</v>
      </c>
      <c r="E72" s="1" t="s">
        <v>189</v>
      </c>
      <c r="F72" s="1" t="s">
        <v>200</v>
      </c>
      <c r="G72" s="1">
        <v>3</v>
      </c>
      <c r="H72" s="1">
        <v>50</v>
      </c>
      <c r="I72" s="1" t="s">
        <v>204</v>
      </c>
      <c r="J72" s="1">
        <v>150</v>
      </c>
      <c r="K72" s="1" t="str">
        <f t="shared" si="1"/>
        <v>January</v>
      </c>
    </row>
    <row r="73" spans="1:11" x14ac:dyDescent="0.3">
      <c r="A73" s="6">
        <v>46032</v>
      </c>
      <c r="B73" s="1" t="s">
        <v>143</v>
      </c>
      <c r="C73" s="1" t="s">
        <v>181</v>
      </c>
      <c r="D73" s="1" t="s">
        <v>185</v>
      </c>
      <c r="E73" s="1" t="s">
        <v>190</v>
      </c>
      <c r="F73" s="1" t="s">
        <v>197</v>
      </c>
      <c r="G73" s="1">
        <v>8</v>
      </c>
      <c r="H73" s="1">
        <v>120</v>
      </c>
      <c r="I73" s="1" t="s">
        <v>204</v>
      </c>
      <c r="J73" s="1">
        <v>960</v>
      </c>
      <c r="K73" s="1" t="str">
        <f t="shared" si="1"/>
        <v>January</v>
      </c>
    </row>
    <row r="74" spans="1:11" x14ac:dyDescent="0.3">
      <c r="A74" s="6">
        <v>46074</v>
      </c>
      <c r="B74" s="1" t="s">
        <v>144</v>
      </c>
      <c r="C74" s="1" t="s">
        <v>179</v>
      </c>
      <c r="D74" s="1" t="s">
        <v>183</v>
      </c>
      <c r="E74" s="1" t="s">
        <v>190</v>
      </c>
      <c r="F74" s="1" t="s">
        <v>201</v>
      </c>
      <c r="G74" s="1">
        <v>4</v>
      </c>
      <c r="H74" s="1">
        <v>60</v>
      </c>
      <c r="I74" s="1" t="s">
        <v>203</v>
      </c>
      <c r="J74" s="1">
        <v>240</v>
      </c>
      <c r="K74" s="1" t="str">
        <f t="shared" si="1"/>
        <v>February</v>
      </c>
    </row>
    <row r="75" spans="1:11" x14ac:dyDescent="0.3">
      <c r="A75" s="6">
        <v>46045</v>
      </c>
      <c r="B75" s="1" t="s">
        <v>145</v>
      </c>
      <c r="C75" s="1" t="s">
        <v>180</v>
      </c>
      <c r="D75" s="1" t="s">
        <v>183</v>
      </c>
      <c r="E75" s="1" t="s">
        <v>190</v>
      </c>
      <c r="F75" s="1" t="s">
        <v>196</v>
      </c>
      <c r="G75" s="1">
        <v>9</v>
      </c>
      <c r="H75" s="1">
        <v>350</v>
      </c>
      <c r="I75" s="1" t="s">
        <v>204</v>
      </c>
      <c r="J75" s="1">
        <v>3150</v>
      </c>
      <c r="K75" s="1" t="str">
        <f t="shared" si="1"/>
        <v>January</v>
      </c>
    </row>
    <row r="76" spans="1:11" x14ac:dyDescent="0.3">
      <c r="A76" s="6">
        <v>46040</v>
      </c>
      <c r="B76" s="1" t="s">
        <v>146</v>
      </c>
      <c r="C76" s="1" t="s">
        <v>174</v>
      </c>
      <c r="D76" s="1" t="s">
        <v>185</v>
      </c>
      <c r="E76" s="1" t="s">
        <v>187</v>
      </c>
      <c r="F76" s="1" t="s">
        <v>202</v>
      </c>
      <c r="G76" s="1">
        <v>8</v>
      </c>
      <c r="H76" s="1">
        <v>500</v>
      </c>
      <c r="I76" s="1" t="s">
        <v>206</v>
      </c>
      <c r="J76" s="1">
        <v>4000</v>
      </c>
      <c r="K76" s="1" t="str">
        <f t="shared" si="1"/>
        <v>January</v>
      </c>
    </row>
    <row r="77" spans="1:11" x14ac:dyDescent="0.3">
      <c r="A77" s="6">
        <v>46087</v>
      </c>
      <c r="B77" s="1" t="s">
        <v>147</v>
      </c>
      <c r="C77" s="1" t="s">
        <v>174</v>
      </c>
      <c r="D77" s="1" t="s">
        <v>186</v>
      </c>
      <c r="E77" s="1" t="s">
        <v>190</v>
      </c>
      <c r="F77" s="1" t="s">
        <v>197</v>
      </c>
      <c r="G77" s="1">
        <v>7</v>
      </c>
      <c r="H77" s="1">
        <v>120</v>
      </c>
      <c r="I77" s="1" t="s">
        <v>204</v>
      </c>
      <c r="J77" s="1">
        <v>840</v>
      </c>
      <c r="K77" s="1" t="str">
        <f t="shared" si="1"/>
        <v>March</v>
      </c>
    </row>
    <row r="78" spans="1:11" x14ac:dyDescent="0.3">
      <c r="A78" s="6">
        <v>46056</v>
      </c>
      <c r="B78" s="1" t="s">
        <v>148</v>
      </c>
      <c r="C78" s="1" t="s">
        <v>178</v>
      </c>
      <c r="D78" s="1" t="s">
        <v>185</v>
      </c>
      <c r="E78" s="1" t="s">
        <v>190</v>
      </c>
      <c r="F78" s="1" t="s">
        <v>201</v>
      </c>
      <c r="G78" s="1">
        <v>4</v>
      </c>
      <c r="H78" s="1">
        <v>60</v>
      </c>
      <c r="I78" s="1" t="s">
        <v>205</v>
      </c>
      <c r="J78" s="1">
        <v>240</v>
      </c>
      <c r="K78" s="1" t="str">
        <f t="shared" si="1"/>
        <v>February</v>
      </c>
    </row>
    <row r="79" spans="1:11" x14ac:dyDescent="0.3">
      <c r="A79" s="6">
        <v>46079</v>
      </c>
      <c r="B79" s="1" t="s">
        <v>149</v>
      </c>
      <c r="C79" s="1" t="s">
        <v>178</v>
      </c>
      <c r="D79" s="1" t="s">
        <v>182</v>
      </c>
      <c r="E79" s="1" t="s">
        <v>188</v>
      </c>
      <c r="F79" s="1" t="s">
        <v>194</v>
      </c>
      <c r="G79" s="1">
        <v>2</v>
      </c>
      <c r="H79" s="1">
        <v>250</v>
      </c>
      <c r="I79" s="1" t="s">
        <v>206</v>
      </c>
      <c r="J79" s="1">
        <v>500</v>
      </c>
      <c r="K79" s="1" t="str">
        <f t="shared" si="1"/>
        <v>February</v>
      </c>
    </row>
    <row r="80" spans="1:11" x14ac:dyDescent="0.3">
      <c r="A80" s="6">
        <v>46092</v>
      </c>
      <c r="B80" s="1" t="s">
        <v>150</v>
      </c>
      <c r="C80" s="1" t="s">
        <v>179</v>
      </c>
      <c r="D80" s="1" t="s">
        <v>182</v>
      </c>
      <c r="E80" s="1" t="s">
        <v>189</v>
      </c>
      <c r="F80" s="1" t="s">
        <v>195</v>
      </c>
      <c r="G80" s="1">
        <v>2</v>
      </c>
      <c r="H80" s="1">
        <v>40</v>
      </c>
      <c r="I80" s="1" t="s">
        <v>204</v>
      </c>
      <c r="J80" s="1">
        <v>80</v>
      </c>
      <c r="K80" s="1" t="str">
        <f t="shared" si="1"/>
        <v>March</v>
      </c>
    </row>
    <row r="81" spans="1:11" x14ac:dyDescent="0.3">
      <c r="A81" s="6">
        <v>46042</v>
      </c>
      <c r="B81" s="1" t="s">
        <v>151</v>
      </c>
      <c r="C81" s="1" t="s">
        <v>177</v>
      </c>
      <c r="D81" s="1" t="s">
        <v>186</v>
      </c>
      <c r="E81" s="1" t="s">
        <v>190</v>
      </c>
      <c r="F81" s="1" t="s">
        <v>197</v>
      </c>
      <c r="G81" s="1">
        <v>4</v>
      </c>
      <c r="H81" s="1">
        <v>120</v>
      </c>
      <c r="I81" s="1" t="s">
        <v>205</v>
      </c>
      <c r="J81" s="1">
        <v>480</v>
      </c>
      <c r="K81" s="1" t="str">
        <f t="shared" si="1"/>
        <v>January</v>
      </c>
    </row>
    <row r="82" spans="1:11" x14ac:dyDescent="0.3">
      <c r="A82" s="6">
        <v>46082</v>
      </c>
      <c r="B82" s="1" t="s">
        <v>152</v>
      </c>
      <c r="C82" s="1" t="s">
        <v>173</v>
      </c>
      <c r="D82" s="1" t="s">
        <v>182</v>
      </c>
      <c r="E82" s="1" t="s">
        <v>189</v>
      </c>
      <c r="F82" s="1" t="s">
        <v>198</v>
      </c>
      <c r="G82" s="1">
        <v>7</v>
      </c>
      <c r="H82" s="1">
        <v>90</v>
      </c>
      <c r="I82" s="1" t="s">
        <v>205</v>
      </c>
      <c r="J82" s="1">
        <v>630</v>
      </c>
      <c r="K82" s="1" t="str">
        <f t="shared" si="1"/>
        <v>March</v>
      </c>
    </row>
    <row r="83" spans="1:11" x14ac:dyDescent="0.3">
      <c r="A83" s="6">
        <v>46112</v>
      </c>
      <c r="B83" s="1" t="s">
        <v>153</v>
      </c>
      <c r="C83" s="1" t="s">
        <v>176</v>
      </c>
      <c r="D83" s="1" t="s">
        <v>186</v>
      </c>
      <c r="E83" s="1" t="s">
        <v>190</v>
      </c>
      <c r="F83" s="1" t="s">
        <v>197</v>
      </c>
      <c r="G83" s="1">
        <v>1</v>
      </c>
      <c r="H83" s="1">
        <v>120</v>
      </c>
      <c r="I83" s="1" t="s">
        <v>205</v>
      </c>
      <c r="J83" s="1">
        <v>120</v>
      </c>
      <c r="K83" s="1" t="str">
        <f t="shared" si="1"/>
        <v>March</v>
      </c>
    </row>
    <row r="84" spans="1:11" x14ac:dyDescent="0.3">
      <c r="A84" s="6">
        <v>46061</v>
      </c>
      <c r="B84" s="1" t="s">
        <v>154</v>
      </c>
      <c r="C84" s="1" t="s">
        <v>181</v>
      </c>
      <c r="D84" s="1" t="s">
        <v>185</v>
      </c>
      <c r="E84" s="1" t="s">
        <v>187</v>
      </c>
      <c r="F84" s="1" t="s">
        <v>202</v>
      </c>
      <c r="G84" s="1">
        <v>7</v>
      </c>
      <c r="H84" s="1">
        <v>500</v>
      </c>
      <c r="I84" s="1" t="s">
        <v>204</v>
      </c>
      <c r="J84" s="1">
        <v>3500</v>
      </c>
      <c r="K84" s="1" t="str">
        <f t="shared" si="1"/>
        <v>February</v>
      </c>
    </row>
    <row r="85" spans="1:11" x14ac:dyDescent="0.3">
      <c r="A85" s="6">
        <v>46057</v>
      </c>
      <c r="B85" s="1" t="s">
        <v>155</v>
      </c>
      <c r="C85" s="1" t="s">
        <v>180</v>
      </c>
      <c r="D85" s="1" t="s">
        <v>183</v>
      </c>
      <c r="E85" s="1" t="s">
        <v>190</v>
      </c>
      <c r="F85" s="1" t="s">
        <v>196</v>
      </c>
      <c r="G85" s="1">
        <v>7</v>
      </c>
      <c r="H85" s="1">
        <v>350</v>
      </c>
      <c r="I85" s="1" t="s">
        <v>205</v>
      </c>
      <c r="J85" s="1">
        <v>2450</v>
      </c>
      <c r="K85" s="1" t="str">
        <f t="shared" si="1"/>
        <v>February</v>
      </c>
    </row>
    <row r="86" spans="1:11" x14ac:dyDescent="0.3">
      <c r="A86" s="6">
        <v>46109</v>
      </c>
      <c r="B86" s="1" t="s">
        <v>156</v>
      </c>
      <c r="C86" s="1" t="s">
        <v>179</v>
      </c>
      <c r="D86" s="1" t="s">
        <v>186</v>
      </c>
      <c r="E86" s="1" t="s">
        <v>189</v>
      </c>
      <c r="F86" s="1" t="s">
        <v>198</v>
      </c>
      <c r="G86" s="1">
        <v>7</v>
      </c>
      <c r="H86" s="1">
        <v>90</v>
      </c>
      <c r="I86" s="1" t="s">
        <v>204</v>
      </c>
      <c r="J86" s="1">
        <v>630</v>
      </c>
      <c r="K86" s="1" t="str">
        <f t="shared" si="1"/>
        <v>March</v>
      </c>
    </row>
    <row r="87" spans="1:11" x14ac:dyDescent="0.3">
      <c r="A87" s="6">
        <v>46098</v>
      </c>
      <c r="B87" s="1" t="s">
        <v>157</v>
      </c>
      <c r="C87" s="1" t="s">
        <v>173</v>
      </c>
      <c r="D87" s="1" t="s">
        <v>183</v>
      </c>
      <c r="E87" s="1" t="s">
        <v>187</v>
      </c>
      <c r="F87" s="1" t="s">
        <v>202</v>
      </c>
      <c r="G87" s="1">
        <v>10</v>
      </c>
      <c r="H87" s="1">
        <v>500</v>
      </c>
      <c r="I87" s="1" t="s">
        <v>205</v>
      </c>
      <c r="J87" s="1">
        <v>5000</v>
      </c>
      <c r="K87" s="1" t="str">
        <f t="shared" si="1"/>
        <v>March</v>
      </c>
    </row>
    <row r="88" spans="1:11" x14ac:dyDescent="0.3">
      <c r="A88" s="6">
        <v>46046</v>
      </c>
      <c r="B88" s="1" t="s">
        <v>158</v>
      </c>
      <c r="C88" s="1" t="s">
        <v>178</v>
      </c>
      <c r="D88" s="1" t="s">
        <v>186</v>
      </c>
      <c r="E88" s="1" t="s">
        <v>188</v>
      </c>
      <c r="F88" s="1" t="s">
        <v>194</v>
      </c>
      <c r="G88" s="1">
        <v>1</v>
      </c>
      <c r="H88" s="1">
        <v>250</v>
      </c>
      <c r="I88" s="1" t="s">
        <v>206</v>
      </c>
      <c r="J88" s="1">
        <v>250</v>
      </c>
      <c r="K88" s="1" t="str">
        <f t="shared" si="1"/>
        <v>January</v>
      </c>
    </row>
    <row r="89" spans="1:11" x14ac:dyDescent="0.3">
      <c r="A89" s="6">
        <v>46064</v>
      </c>
      <c r="B89" s="1" t="s">
        <v>159</v>
      </c>
      <c r="C89" s="1" t="s">
        <v>181</v>
      </c>
      <c r="D89" s="1" t="s">
        <v>184</v>
      </c>
      <c r="E89" s="1" t="s">
        <v>188</v>
      </c>
      <c r="F89" s="1" t="s">
        <v>194</v>
      </c>
      <c r="G89" s="1">
        <v>6</v>
      </c>
      <c r="H89" s="1">
        <v>250</v>
      </c>
      <c r="I89" s="1" t="s">
        <v>205</v>
      </c>
      <c r="J89" s="1">
        <v>1500</v>
      </c>
      <c r="K89" s="1" t="str">
        <f t="shared" si="1"/>
        <v>February</v>
      </c>
    </row>
    <row r="90" spans="1:11" x14ac:dyDescent="0.3">
      <c r="A90" s="6">
        <v>46083</v>
      </c>
      <c r="B90" s="1" t="s">
        <v>160</v>
      </c>
      <c r="C90" s="1" t="s">
        <v>174</v>
      </c>
      <c r="D90" s="1" t="s">
        <v>183</v>
      </c>
      <c r="E90" s="1" t="s">
        <v>189</v>
      </c>
      <c r="F90" s="1" t="s">
        <v>200</v>
      </c>
      <c r="G90" s="1">
        <v>1</v>
      </c>
      <c r="H90" s="1">
        <v>50</v>
      </c>
      <c r="I90" s="1" t="s">
        <v>206</v>
      </c>
      <c r="J90" s="1">
        <v>50</v>
      </c>
      <c r="K90" s="1" t="str">
        <f t="shared" si="1"/>
        <v>March</v>
      </c>
    </row>
    <row r="91" spans="1:11" x14ac:dyDescent="0.3">
      <c r="A91" s="6">
        <v>46031</v>
      </c>
      <c r="B91" s="1" t="s">
        <v>161</v>
      </c>
      <c r="C91" s="1" t="s">
        <v>173</v>
      </c>
      <c r="D91" s="1" t="s">
        <v>182</v>
      </c>
      <c r="E91" s="1" t="s">
        <v>188</v>
      </c>
      <c r="F91" s="1" t="s">
        <v>193</v>
      </c>
      <c r="G91" s="1">
        <v>1</v>
      </c>
      <c r="H91" s="1">
        <v>80</v>
      </c>
      <c r="I91" s="1" t="s">
        <v>204</v>
      </c>
      <c r="J91" s="1">
        <v>80</v>
      </c>
      <c r="K91" s="1" t="str">
        <f t="shared" si="1"/>
        <v>January</v>
      </c>
    </row>
    <row r="92" spans="1:11" x14ac:dyDescent="0.3">
      <c r="A92" s="6">
        <v>46042</v>
      </c>
      <c r="B92" s="1" t="s">
        <v>162</v>
      </c>
      <c r="C92" s="1" t="s">
        <v>179</v>
      </c>
      <c r="D92" s="1" t="s">
        <v>186</v>
      </c>
      <c r="E92" s="1" t="s">
        <v>187</v>
      </c>
      <c r="F92" s="1" t="s">
        <v>192</v>
      </c>
      <c r="G92" s="1">
        <v>4</v>
      </c>
      <c r="H92" s="1">
        <v>180</v>
      </c>
      <c r="I92" s="1" t="s">
        <v>203</v>
      </c>
      <c r="J92" s="1">
        <v>720</v>
      </c>
      <c r="K92" s="1" t="str">
        <f t="shared" si="1"/>
        <v>January</v>
      </c>
    </row>
    <row r="93" spans="1:11" x14ac:dyDescent="0.3">
      <c r="A93" s="6">
        <v>46112</v>
      </c>
      <c r="B93" s="1" t="s">
        <v>163</v>
      </c>
      <c r="C93" s="1" t="s">
        <v>175</v>
      </c>
      <c r="D93" s="1" t="s">
        <v>182</v>
      </c>
      <c r="E93" s="1" t="s">
        <v>188</v>
      </c>
      <c r="F93" s="1" t="s">
        <v>194</v>
      </c>
      <c r="G93" s="1">
        <v>5</v>
      </c>
      <c r="H93" s="1">
        <v>250</v>
      </c>
      <c r="I93" s="1" t="s">
        <v>203</v>
      </c>
      <c r="J93" s="1">
        <v>1250</v>
      </c>
      <c r="K93" s="1" t="str">
        <f t="shared" si="1"/>
        <v>March</v>
      </c>
    </row>
    <row r="94" spans="1:11" x14ac:dyDescent="0.3">
      <c r="A94" s="6">
        <v>46036</v>
      </c>
      <c r="B94" s="1" t="s">
        <v>164</v>
      </c>
      <c r="C94" s="1" t="s">
        <v>173</v>
      </c>
      <c r="D94" s="1" t="s">
        <v>184</v>
      </c>
      <c r="E94" s="1" t="s">
        <v>188</v>
      </c>
      <c r="F94" s="1" t="s">
        <v>194</v>
      </c>
      <c r="G94" s="1">
        <v>10</v>
      </c>
      <c r="H94" s="1">
        <v>250</v>
      </c>
      <c r="I94" s="1" t="s">
        <v>205</v>
      </c>
      <c r="J94" s="1">
        <v>2500</v>
      </c>
      <c r="K94" s="1" t="str">
        <f t="shared" si="1"/>
        <v>January</v>
      </c>
    </row>
    <row r="95" spans="1:11" x14ac:dyDescent="0.3">
      <c r="A95" s="6">
        <v>46048</v>
      </c>
      <c r="B95" s="1" t="s">
        <v>165</v>
      </c>
      <c r="C95" s="1" t="s">
        <v>176</v>
      </c>
      <c r="D95" s="1" t="s">
        <v>182</v>
      </c>
      <c r="E95" s="1" t="s">
        <v>190</v>
      </c>
      <c r="F95" s="1" t="s">
        <v>197</v>
      </c>
      <c r="G95" s="1">
        <v>2</v>
      </c>
      <c r="H95" s="1">
        <v>120</v>
      </c>
      <c r="I95" s="1" t="s">
        <v>203</v>
      </c>
      <c r="J95" s="1">
        <v>240</v>
      </c>
      <c r="K95" s="1" t="str">
        <f t="shared" si="1"/>
        <v>January</v>
      </c>
    </row>
    <row r="96" spans="1:11" x14ac:dyDescent="0.3">
      <c r="A96" s="6">
        <v>46099</v>
      </c>
      <c r="B96" s="1" t="s">
        <v>166</v>
      </c>
      <c r="C96" s="1" t="s">
        <v>176</v>
      </c>
      <c r="D96" s="1" t="s">
        <v>183</v>
      </c>
      <c r="E96" s="1" t="s">
        <v>189</v>
      </c>
      <c r="F96" s="1" t="s">
        <v>198</v>
      </c>
      <c r="G96" s="1">
        <v>2</v>
      </c>
      <c r="H96" s="1">
        <v>90</v>
      </c>
      <c r="I96" s="1" t="s">
        <v>206</v>
      </c>
      <c r="J96" s="1">
        <v>180</v>
      </c>
      <c r="K96" s="1" t="str">
        <f t="shared" si="1"/>
        <v>March</v>
      </c>
    </row>
    <row r="97" spans="1:11" x14ac:dyDescent="0.3">
      <c r="A97" s="6">
        <v>46070</v>
      </c>
      <c r="B97" s="1" t="s">
        <v>167</v>
      </c>
      <c r="C97" s="1" t="s">
        <v>174</v>
      </c>
      <c r="D97" s="1" t="s">
        <v>184</v>
      </c>
      <c r="E97" s="1" t="s">
        <v>190</v>
      </c>
      <c r="F97" s="1" t="s">
        <v>197</v>
      </c>
      <c r="G97" s="1">
        <v>2</v>
      </c>
      <c r="H97" s="1">
        <v>120</v>
      </c>
      <c r="I97" s="1" t="s">
        <v>203</v>
      </c>
      <c r="J97" s="1">
        <v>240</v>
      </c>
      <c r="K97" s="1" t="str">
        <f t="shared" si="1"/>
        <v>February</v>
      </c>
    </row>
    <row r="98" spans="1:11" x14ac:dyDescent="0.3">
      <c r="A98" s="6">
        <v>46036</v>
      </c>
      <c r="B98" s="1" t="s">
        <v>168</v>
      </c>
      <c r="C98" s="1" t="s">
        <v>175</v>
      </c>
      <c r="D98" s="1" t="s">
        <v>186</v>
      </c>
      <c r="E98" s="1" t="s">
        <v>190</v>
      </c>
      <c r="F98" s="1" t="s">
        <v>201</v>
      </c>
      <c r="G98" s="1">
        <v>7</v>
      </c>
      <c r="H98" s="1">
        <v>60</v>
      </c>
      <c r="I98" s="1" t="s">
        <v>204</v>
      </c>
      <c r="J98" s="1">
        <v>420</v>
      </c>
      <c r="K98" s="1" t="str">
        <f t="shared" si="1"/>
        <v>January</v>
      </c>
    </row>
    <row r="99" spans="1:11" x14ac:dyDescent="0.3">
      <c r="A99" s="6">
        <v>46089</v>
      </c>
      <c r="B99" s="1" t="s">
        <v>169</v>
      </c>
      <c r="C99" s="1" t="s">
        <v>176</v>
      </c>
      <c r="D99" s="1" t="s">
        <v>185</v>
      </c>
      <c r="E99" s="1" t="s">
        <v>190</v>
      </c>
      <c r="F99" s="1" t="s">
        <v>196</v>
      </c>
      <c r="G99" s="1">
        <v>5</v>
      </c>
      <c r="H99" s="1">
        <v>350</v>
      </c>
      <c r="I99" s="1" t="s">
        <v>205</v>
      </c>
      <c r="J99" s="1">
        <v>1750</v>
      </c>
      <c r="K99" s="1" t="str">
        <f t="shared" si="1"/>
        <v>March</v>
      </c>
    </row>
    <row r="100" spans="1:11" x14ac:dyDescent="0.3">
      <c r="A100" s="6">
        <v>46098</v>
      </c>
      <c r="B100" s="1" t="s">
        <v>170</v>
      </c>
      <c r="C100" s="1" t="s">
        <v>175</v>
      </c>
      <c r="D100" s="1" t="s">
        <v>182</v>
      </c>
      <c r="E100" s="1" t="s">
        <v>190</v>
      </c>
      <c r="F100" s="1" t="s">
        <v>201</v>
      </c>
      <c r="G100" s="1">
        <v>5</v>
      </c>
      <c r="H100" s="1">
        <v>60</v>
      </c>
      <c r="I100" s="1" t="s">
        <v>203</v>
      </c>
      <c r="J100" s="1">
        <v>300</v>
      </c>
      <c r="K100" s="1" t="str">
        <f t="shared" si="1"/>
        <v>March</v>
      </c>
    </row>
    <row r="101" spans="1:11" x14ac:dyDescent="0.3">
      <c r="A101" s="6">
        <v>46054</v>
      </c>
      <c r="B101" s="1" t="s">
        <v>171</v>
      </c>
      <c r="C101" s="1" t="s">
        <v>176</v>
      </c>
      <c r="D101" s="1" t="s">
        <v>185</v>
      </c>
      <c r="E101" s="1" t="s">
        <v>189</v>
      </c>
      <c r="F101" s="1" t="s">
        <v>195</v>
      </c>
      <c r="G101" s="1">
        <v>8</v>
      </c>
      <c r="H101" s="1">
        <v>40</v>
      </c>
      <c r="I101" s="1" t="s">
        <v>205</v>
      </c>
      <c r="J101" s="1">
        <v>320</v>
      </c>
      <c r="K101" s="1" t="str">
        <f t="shared" si="1"/>
        <v>February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 Pivot Table 1</vt:lpstr>
      <vt:lpstr>Supermarket Dashboard</vt:lpstr>
      <vt:lpstr>Pivot Table 2</vt:lpstr>
      <vt:lpstr>Pivot Table 3</vt:lpstr>
      <vt:lpstr>Pivot Table 4</vt:lpstr>
      <vt:lpstr>Pivot Table 5</vt:lpstr>
      <vt:lpstr>Pivot Table 7</vt:lpstr>
      <vt:lpstr>Data</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Rajeswari Arunachalam</cp:lastModifiedBy>
  <dcterms:created xsi:type="dcterms:W3CDTF">2026-08-24T18:20:41Z</dcterms:created>
  <dcterms:modified xsi:type="dcterms:W3CDTF">2026-08-27T21:07:07Z</dcterms:modified>
</cp:coreProperties>
</file>